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Documents\Projects Excel\"/>
    </mc:Choice>
  </mc:AlternateContent>
  <xr:revisionPtr revIDLastSave="0" documentId="8_{4406200F-1116-45A1-BB39-F5B44B4189B5}" xr6:coauthVersionLast="47" xr6:coauthVersionMax="47" xr10:uidLastSave="{00000000-0000-0000-0000-000000000000}"/>
  <bookViews>
    <workbookView xWindow="-110" yWindow="-110" windowWidth="19420" windowHeight="10300" activeTab="2" xr2:uid="{00000000-000D-0000-FFFF-FFFF00000000}"/>
  </bookViews>
  <sheets>
    <sheet name="ReadMe" sheetId="6" r:id="rId1"/>
    <sheet name="Pivot_Category" sheetId="2" r:id="rId2"/>
    <sheet name="Pivot_Trends" sheetId="3" r:id="rId3"/>
    <sheet name="Pivot_Regionals" sheetId="4" r:id="rId4"/>
    <sheet name="DASHBOARD" sheetId="5" r:id="rId5"/>
    <sheet name="Cleaned_Data" sheetId="1" r:id="rId6"/>
    <sheet name="Sales_Data" sheetId="7" r:id="rId7"/>
  </sheets>
  <definedNames>
    <definedName name="_xlnm._FilterDatabase" localSheetId="5" hidden="1">Cleaned_Data!$G$1:$G$1001</definedName>
    <definedName name="Slicer_Region_and_Sales_Rep">#N/A</definedName>
  </definedNames>
  <calcPr calcId="191029"/>
  <pivotCaches>
    <pivotCache cacheId="17"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O2" i="1"/>
  <c r="P2" i="1" s="1"/>
  <c r="Q2" i="1" s="1"/>
  <c r="O3" i="1"/>
  <c r="P3" i="1" s="1"/>
  <c r="Q3" i="1" s="1"/>
  <c r="O4" i="1"/>
  <c r="P4" i="1" s="1"/>
  <c r="Q4" i="1" s="1"/>
  <c r="O5" i="1"/>
  <c r="P5" i="1" s="1"/>
  <c r="Q5" i="1" s="1"/>
  <c r="O6" i="1"/>
  <c r="P6" i="1" s="1"/>
  <c r="Q6" i="1" s="1"/>
  <c r="O7" i="1"/>
  <c r="P7" i="1" s="1"/>
  <c r="Q7" i="1" s="1"/>
  <c r="O8" i="1"/>
  <c r="P8" i="1" s="1"/>
  <c r="Q8" i="1" s="1"/>
  <c r="O9" i="1"/>
  <c r="P9" i="1" s="1"/>
  <c r="Q9" i="1" s="1"/>
  <c r="O10" i="1"/>
  <c r="P10" i="1" s="1"/>
  <c r="Q10" i="1" s="1"/>
  <c r="O11" i="1"/>
  <c r="P11" i="1" s="1"/>
  <c r="Q11" i="1" s="1"/>
  <c r="O12" i="1"/>
  <c r="P12" i="1" s="1"/>
  <c r="Q12" i="1" s="1"/>
  <c r="O13" i="1"/>
  <c r="P13" i="1" s="1"/>
  <c r="Q13" i="1" s="1"/>
  <c r="O14" i="1"/>
  <c r="P14" i="1" s="1"/>
  <c r="Q14" i="1" s="1"/>
  <c r="O15" i="1"/>
  <c r="P15" i="1" s="1"/>
  <c r="Q15" i="1" s="1"/>
  <c r="O16" i="1"/>
  <c r="P16" i="1" s="1"/>
  <c r="Q16" i="1" s="1"/>
  <c r="O17" i="1"/>
  <c r="P17" i="1" s="1"/>
  <c r="Q17" i="1" s="1"/>
  <c r="O18" i="1"/>
  <c r="P18" i="1" s="1"/>
  <c r="Q18" i="1" s="1"/>
  <c r="O19" i="1"/>
  <c r="P19" i="1" s="1"/>
  <c r="Q19" i="1" s="1"/>
  <c r="O20" i="1"/>
  <c r="P20" i="1" s="1"/>
  <c r="Q20" i="1" s="1"/>
  <c r="O21" i="1"/>
  <c r="P21" i="1" s="1"/>
  <c r="Q21" i="1" s="1"/>
  <c r="O22" i="1"/>
  <c r="P22" i="1" s="1"/>
  <c r="Q22" i="1" s="1"/>
  <c r="O23" i="1"/>
  <c r="P23" i="1" s="1"/>
  <c r="Q23" i="1" s="1"/>
  <c r="O24" i="1"/>
  <c r="P24" i="1" s="1"/>
  <c r="Q24" i="1" s="1"/>
  <c r="O25" i="1"/>
  <c r="P25" i="1" s="1"/>
  <c r="Q25" i="1" s="1"/>
  <c r="O26" i="1"/>
  <c r="P26" i="1" s="1"/>
  <c r="Q26" i="1" s="1"/>
  <c r="O27" i="1"/>
  <c r="P27" i="1" s="1"/>
  <c r="Q27" i="1" s="1"/>
  <c r="O28" i="1"/>
  <c r="P28" i="1" s="1"/>
  <c r="Q28" i="1" s="1"/>
  <c r="O29" i="1"/>
  <c r="P29" i="1" s="1"/>
  <c r="Q29" i="1" s="1"/>
  <c r="O30" i="1"/>
  <c r="P30" i="1" s="1"/>
  <c r="Q30" i="1" s="1"/>
  <c r="O31" i="1"/>
  <c r="P31" i="1" s="1"/>
  <c r="Q31" i="1" s="1"/>
  <c r="O32" i="1"/>
  <c r="P32" i="1" s="1"/>
  <c r="Q32" i="1" s="1"/>
  <c r="O33" i="1"/>
  <c r="P33" i="1" s="1"/>
  <c r="Q33" i="1" s="1"/>
  <c r="O34" i="1"/>
  <c r="P34" i="1" s="1"/>
  <c r="Q34" i="1" s="1"/>
  <c r="O35" i="1"/>
  <c r="P35" i="1" s="1"/>
  <c r="Q35" i="1" s="1"/>
  <c r="O36" i="1"/>
  <c r="P36" i="1" s="1"/>
  <c r="Q36" i="1" s="1"/>
  <c r="O37" i="1"/>
  <c r="P37" i="1" s="1"/>
  <c r="Q37" i="1" s="1"/>
  <c r="O38" i="1"/>
  <c r="P38" i="1" s="1"/>
  <c r="Q38" i="1" s="1"/>
  <c r="O39" i="1"/>
  <c r="P39" i="1" s="1"/>
  <c r="Q39" i="1" s="1"/>
  <c r="O40" i="1"/>
  <c r="P40" i="1" s="1"/>
  <c r="Q40" i="1" s="1"/>
  <c r="O41" i="1"/>
  <c r="P41" i="1" s="1"/>
  <c r="Q41" i="1" s="1"/>
  <c r="O42" i="1"/>
  <c r="P42" i="1" s="1"/>
  <c r="Q42" i="1" s="1"/>
  <c r="O43" i="1"/>
  <c r="P43" i="1" s="1"/>
  <c r="Q43" i="1" s="1"/>
  <c r="O44" i="1"/>
  <c r="P44" i="1" s="1"/>
  <c r="Q44" i="1" s="1"/>
  <c r="O45" i="1"/>
  <c r="P45" i="1" s="1"/>
  <c r="Q45" i="1" s="1"/>
  <c r="O46" i="1"/>
  <c r="P46" i="1" s="1"/>
  <c r="Q46" i="1" s="1"/>
  <c r="O47" i="1"/>
  <c r="P47" i="1" s="1"/>
  <c r="Q47" i="1" s="1"/>
  <c r="O48" i="1"/>
  <c r="P48" i="1" s="1"/>
  <c r="Q48" i="1" s="1"/>
  <c r="O49" i="1"/>
  <c r="P49" i="1" s="1"/>
  <c r="Q49" i="1" s="1"/>
  <c r="O50" i="1"/>
  <c r="P50" i="1" s="1"/>
  <c r="Q50" i="1" s="1"/>
  <c r="O51" i="1"/>
  <c r="P51" i="1" s="1"/>
  <c r="Q51" i="1" s="1"/>
  <c r="O52" i="1"/>
  <c r="P52" i="1" s="1"/>
  <c r="Q52" i="1" s="1"/>
  <c r="O53" i="1"/>
  <c r="P53" i="1" s="1"/>
  <c r="Q53" i="1" s="1"/>
  <c r="O54" i="1"/>
  <c r="P54" i="1" s="1"/>
  <c r="Q54" i="1" s="1"/>
  <c r="O55" i="1"/>
  <c r="P55" i="1" s="1"/>
  <c r="Q55" i="1" s="1"/>
  <c r="O56" i="1"/>
  <c r="P56" i="1" s="1"/>
  <c r="Q56" i="1" s="1"/>
  <c r="O57" i="1"/>
  <c r="P57" i="1" s="1"/>
  <c r="Q57" i="1" s="1"/>
  <c r="O58" i="1"/>
  <c r="P58" i="1" s="1"/>
  <c r="Q58" i="1" s="1"/>
  <c r="O59" i="1"/>
  <c r="P59" i="1" s="1"/>
  <c r="Q59" i="1" s="1"/>
  <c r="O60" i="1"/>
  <c r="P60" i="1" s="1"/>
  <c r="Q60" i="1" s="1"/>
  <c r="O61" i="1"/>
  <c r="P61" i="1" s="1"/>
  <c r="Q61" i="1" s="1"/>
  <c r="O62" i="1"/>
  <c r="P62" i="1" s="1"/>
  <c r="Q62" i="1" s="1"/>
  <c r="O63" i="1"/>
  <c r="P63" i="1" s="1"/>
  <c r="Q63" i="1" s="1"/>
  <c r="O64" i="1"/>
  <c r="P64" i="1" s="1"/>
  <c r="Q64" i="1" s="1"/>
  <c r="O65" i="1"/>
  <c r="P65" i="1" s="1"/>
  <c r="Q65" i="1" s="1"/>
  <c r="O66" i="1"/>
  <c r="P66" i="1" s="1"/>
  <c r="Q66" i="1" s="1"/>
  <c r="O67" i="1"/>
  <c r="P67" i="1" s="1"/>
  <c r="Q67" i="1" s="1"/>
  <c r="O68" i="1"/>
  <c r="P68" i="1" s="1"/>
  <c r="Q68" i="1" s="1"/>
  <c r="O69" i="1"/>
  <c r="P69" i="1" s="1"/>
  <c r="Q69" i="1" s="1"/>
  <c r="O70" i="1"/>
  <c r="P70" i="1" s="1"/>
  <c r="Q70" i="1" s="1"/>
  <c r="O71" i="1"/>
  <c r="P71" i="1" s="1"/>
  <c r="Q71" i="1" s="1"/>
  <c r="O72" i="1"/>
  <c r="P72" i="1" s="1"/>
  <c r="Q72" i="1" s="1"/>
  <c r="O73" i="1"/>
  <c r="P73" i="1" s="1"/>
  <c r="Q73" i="1" s="1"/>
  <c r="O74" i="1"/>
  <c r="P74" i="1" s="1"/>
  <c r="Q74" i="1" s="1"/>
  <c r="O75" i="1"/>
  <c r="P75" i="1" s="1"/>
  <c r="Q75" i="1" s="1"/>
  <c r="O76" i="1"/>
  <c r="P76" i="1" s="1"/>
  <c r="Q76" i="1" s="1"/>
  <c r="O77" i="1"/>
  <c r="P77" i="1" s="1"/>
  <c r="Q77" i="1" s="1"/>
  <c r="O78" i="1"/>
  <c r="P78" i="1" s="1"/>
  <c r="Q78" i="1" s="1"/>
  <c r="O79" i="1"/>
  <c r="P79" i="1" s="1"/>
  <c r="Q79" i="1" s="1"/>
  <c r="O80" i="1"/>
  <c r="P80" i="1" s="1"/>
  <c r="Q80" i="1" s="1"/>
  <c r="O81" i="1"/>
  <c r="P81" i="1" s="1"/>
  <c r="Q81" i="1" s="1"/>
  <c r="O82" i="1"/>
  <c r="P82" i="1" s="1"/>
  <c r="Q82" i="1" s="1"/>
  <c r="O83" i="1"/>
  <c r="P83" i="1" s="1"/>
  <c r="Q83" i="1" s="1"/>
  <c r="O84" i="1"/>
  <c r="P84" i="1" s="1"/>
  <c r="Q84" i="1" s="1"/>
  <c r="O85" i="1"/>
  <c r="P85" i="1" s="1"/>
  <c r="Q85" i="1" s="1"/>
  <c r="O86" i="1"/>
  <c r="P86" i="1" s="1"/>
  <c r="Q86" i="1" s="1"/>
  <c r="O87" i="1"/>
  <c r="P87" i="1" s="1"/>
  <c r="Q87" i="1" s="1"/>
  <c r="O88" i="1"/>
  <c r="P88" i="1" s="1"/>
  <c r="Q88" i="1" s="1"/>
  <c r="O89" i="1"/>
  <c r="P89" i="1" s="1"/>
  <c r="Q89" i="1" s="1"/>
  <c r="O90" i="1"/>
  <c r="P90" i="1" s="1"/>
  <c r="Q90" i="1" s="1"/>
  <c r="O91" i="1"/>
  <c r="P91" i="1" s="1"/>
  <c r="Q91" i="1" s="1"/>
  <c r="O92" i="1"/>
  <c r="P92" i="1" s="1"/>
  <c r="Q92" i="1" s="1"/>
  <c r="O93" i="1"/>
  <c r="P93" i="1" s="1"/>
  <c r="Q93" i="1" s="1"/>
  <c r="O94" i="1"/>
  <c r="P94" i="1" s="1"/>
  <c r="Q94" i="1" s="1"/>
  <c r="O95" i="1"/>
  <c r="P95" i="1" s="1"/>
  <c r="Q95" i="1" s="1"/>
  <c r="O96" i="1"/>
  <c r="P96" i="1" s="1"/>
  <c r="Q96" i="1" s="1"/>
  <c r="O97" i="1"/>
  <c r="P97" i="1" s="1"/>
  <c r="Q97" i="1" s="1"/>
  <c r="O98" i="1"/>
  <c r="P98" i="1" s="1"/>
  <c r="Q98" i="1" s="1"/>
  <c r="O99" i="1"/>
  <c r="P99" i="1" s="1"/>
  <c r="Q99" i="1" s="1"/>
  <c r="O100" i="1"/>
  <c r="P100" i="1" s="1"/>
  <c r="Q100" i="1" s="1"/>
  <c r="O101" i="1"/>
  <c r="P101" i="1" s="1"/>
  <c r="Q101" i="1" s="1"/>
  <c r="O102" i="1"/>
  <c r="P102" i="1" s="1"/>
  <c r="Q102" i="1" s="1"/>
  <c r="O103" i="1"/>
  <c r="P103" i="1" s="1"/>
  <c r="Q103" i="1" s="1"/>
  <c r="O104" i="1"/>
  <c r="P104" i="1" s="1"/>
  <c r="Q104" i="1" s="1"/>
  <c r="O105" i="1"/>
  <c r="P105" i="1" s="1"/>
  <c r="Q105" i="1" s="1"/>
  <c r="O106" i="1"/>
  <c r="P106" i="1" s="1"/>
  <c r="Q106" i="1" s="1"/>
  <c r="O107" i="1"/>
  <c r="P107" i="1" s="1"/>
  <c r="Q107" i="1" s="1"/>
  <c r="O108" i="1"/>
  <c r="P108" i="1" s="1"/>
  <c r="Q108" i="1" s="1"/>
  <c r="O109" i="1"/>
  <c r="P109" i="1" s="1"/>
  <c r="Q109" i="1" s="1"/>
  <c r="O110" i="1"/>
  <c r="P110" i="1" s="1"/>
  <c r="Q110" i="1" s="1"/>
  <c r="O111" i="1"/>
  <c r="P111" i="1" s="1"/>
  <c r="Q111" i="1" s="1"/>
  <c r="O112" i="1"/>
  <c r="P112" i="1" s="1"/>
  <c r="Q112" i="1" s="1"/>
  <c r="O113" i="1"/>
  <c r="P113" i="1" s="1"/>
  <c r="Q113" i="1" s="1"/>
  <c r="O114" i="1"/>
  <c r="P114" i="1" s="1"/>
  <c r="Q114" i="1" s="1"/>
  <c r="O115" i="1"/>
  <c r="P115" i="1" s="1"/>
  <c r="Q115" i="1" s="1"/>
  <c r="O116" i="1"/>
  <c r="P116" i="1" s="1"/>
  <c r="Q116" i="1" s="1"/>
  <c r="O117" i="1"/>
  <c r="P117" i="1" s="1"/>
  <c r="Q117" i="1" s="1"/>
  <c r="O118" i="1"/>
  <c r="P118" i="1" s="1"/>
  <c r="Q118" i="1" s="1"/>
  <c r="O119" i="1"/>
  <c r="P119" i="1" s="1"/>
  <c r="Q119" i="1" s="1"/>
  <c r="O120" i="1"/>
  <c r="P120" i="1" s="1"/>
  <c r="Q120" i="1" s="1"/>
  <c r="O121" i="1"/>
  <c r="P121" i="1" s="1"/>
  <c r="Q121" i="1" s="1"/>
  <c r="O122" i="1"/>
  <c r="P122" i="1" s="1"/>
  <c r="Q122" i="1" s="1"/>
  <c r="O123" i="1"/>
  <c r="P123" i="1" s="1"/>
  <c r="Q123" i="1" s="1"/>
  <c r="O124" i="1"/>
  <c r="P124" i="1" s="1"/>
  <c r="Q124" i="1" s="1"/>
  <c r="O125" i="1"/>
  <c r="P125" i="1" s="1"/>
  <c r="Q125" i="1" s="1"/>
  <c r="O126" i="1"/>
  <c r="P126" i="1" s="1"/>
  <c r="Q126" i="1" s="1"/>
  <c r="O127" i="1"/>
  <c r="P127" i="1" s="1"/>
  <c r="Q127" i="1" s="1"/>
  <c r="O128" i="1"/>
  <c r="P128" i="1" s="1"/>
  <c r="Q128" i="1" s="1"/>
  <c r="O129" i="1"/>
  <c r="P129" i="1" s="1"/>
  <c r="Q129" i="1" s="1"/>
  <c r="O130" i="1"/>
  <c r="P130" i="1" s="1"/>
  <c r="Q130" i="1" s="1"/>
  <c r="O131" i="1"/>
  <c r="P131" i="1" s="1"/>
  <c r="Q131" i="1" s="1"/>
  <c r="O132" i="1"/>
  <c r="P132" i="1" s="1"/>
  <c r="Q132" i="1" s="1"/>
  <c r="O133" i="1"/>
  <c r="P133" i="1" s="1"/>
  <c r="Q133" i="1" s="1"/>
  <c r="O134" i="1"/>
  <c r="P134" i="1" s="1"/>
  <c r="Q134" i="1" s="1"/>
  <c r="O135" i="1"/>
  <c r="P135" i="1" s="1"/>
  <c r="Q135" i="1" s="1"/>
  <c r="O136" i="1"/>
  <c r="P136" i="1" s="1"/>
  <c r="Q136" i="1" s="1"/>
  <c r="O137" i="1"/>
  <c r="P137" i="1" s="1"/>
  <c r="Q137" i="1" s="1"/>
  <c r="O138" i="1"/>
  <c r="P138" i="1" s="1"/>
  <c r="Q138" i="1" s="1"/>
  <c r="O139" i="1"/>
  <c r="P139" i="1" s="1"/>
  <c r="Q139" i="1" s="1"/>
  <c r="O140" i="1"/>
  <c r="P140" i="1" s="1"/>
  <c r="Q140" i="1" s="1"/>
  <c r="O141" i="1"/>
  <c r="P141" i="1" s="1"/>
  <c r="Q141" i="1" s="1"/>
  <c r="O142" i="1"/>
  <c r="P142" i="1" s="1"/>
  <c r="Q142" i="1" s="1"/>
  <c r="O143" i="1"/>
  <c r="P143" i="1" s="1"/>
  <c r="Q143" i="1" s="1"/>
  <c r="O144" i="1"/>
  <c r="P144" i="1" s="1"/>
  <c r="Q144" i="1" s="1"/>
  <c r="O145" i="1"/>
  <c r="P145" i="1" s="1"/>
  <c r="Q145" i="1" s="1"/>
  <c r="O146" i="1"/>
  <c r="P146" i="1" s="1"/>
  <c r="Q146" i="1" s="1"/>
  <c r="O147" i="1"/>
  <c r="P147" i="1" s="1"/>
  <c r="Q147" i="1" s="1"/>
  <c r="O148" i="1"/>
  <c r="P148" i="1" s="1"/>
  <c r="Q148" i="1" s="1"/>
  <c r="O149" i="1"/>
  <c r="P149" i="1" s="1"/>
  <c r="Q149" i="1" s="1"/>
  <c r="O150" i="1"/>
  <c r="P150" i="1" s="1"/>
  <c r="Q150" i="1" s="1"/>
  <c r="O151" i="1"/>
  <c r="P151" i="1" s="1"/>
  <c r="Q151" i="1" s="1"/>
  <c r="O152" i="1"/>
  <c r="P152" i="1" s="1"/>
  <c r="Q152" i="1" s="1"/>
  <c r="O153" i="1"/>
  <c r="P153" i="1" s="1"/>
  <c r="Q153" i="1" s="1"/>
  <c r="O154" i="1"/>
  <c r="P154" i="1" s="1"/>
  <c r="Q154" i="1" s="1"/>
  <c r="O155" i="1"/>
  <c r="P155" i="1" s="1"/>
  <c r="Q155" i="1" s="1"/>
  <c r="O156" i="1"/>
  <c r="P156" i="1" s="1"/>
  <c r="Q156" i="1" s="1"/>
  <c r="O157" i="1"/>
  <c r="P157" i="1" s="1"/>
  <c r="Q157" i="1" s="1"/>
  <c r="O158" i="1"/>
  <c r="P158" i="1" s="1"/>
  <c r="Q158" i="1" s="1"/>
  <c r="O159" i="1"/>
  <c r="P159" i="1" s="1"/>
  <c r="Q159" i="1" s="1"/>
  <c r="O160" i="1"/>
  <c r="P160" i="1" s="1"/>
  <c r="Q160" i="1" s="1"/>
  <c r="O161" i="1"/>
  <c r="P161" i="1" s="1"/>
  <c r="Q161" i="1" s="1"/>
  <c r="O162" i="1"/>
  <c r="P162" i="1" s="1"/>
  <c r="Q162" i="1" s="1"/>
  <c r="O163" i="1"/>
  <c r="P163" i="1" s="1"/>
  <c r="Q163" i="1" s="1"/>
  <c r="O164" i="1"/>
  <c r="P164" i="1" s="1"/>
  <c r="Q164" i="1" s="1"/>
  <c r="O165" i="1"/>
  <c r="P165" i="1" s="1"/>
  <c r="Q165" i="1" s="1"/>
  <c r="O166" i="1"/>
  <c r="P166" i="1" s="1"/>
  <c r="Q166" i="1" s="1"/>
  <c r="O167" i="1"/>
  <c r="P167" i="1" s="1"/>
  <c r="Q167" i="1" s="1"/>
  <c r="O168" i="1"/>
  <c r="P168" i="1" s="1"/>
  <c r="Q168" i="1" s="1"/>
  <c r="O169" i="1"/>
  <c r="P169" i="1" s="1"/>
  <c r="Q169" i="1" s="1"/>
  <c r="O170" i="1"/>
  <c r="P170" i="1" s="1"/>
  <c r="Q170" i="1" s="1"/>
  <c r="O171" i="1"/>
  <c r="P171" i="1" s="1"/>
  <c r="Q171" i="1" s="1"/>
  <c r="O172" i="1"/>
  <c r="P172" i="1" s="1"/>
  <c r="Q172" i="1" s="1"/>
  <c r="O173" i="1"/>
  <c r="P173" i="1" s="1"/>
  <c r="Q173" i="1" s="1"/>
  <c r="O174" i="1"/>
  <c r="P174" i="1" s="1"/>
  <c r="Q174" i="1" s="1"/>
  <c r="O175" i="1"/>
  <c r="P175" i="1" s="1"/>
  <c r="Q175" i="1" s="1"/>
  <c r="O176" i="1"/>
  <c r="P176" i="1" s="1"/>
  <c r="Q176" i="1" s="1"/>
  <c r="O177" i="1"/>
  <c r="P177" i="1" s="1"/>
  <c r="Q177" i="1" s="1"/>
  <c r="O178" i="1"/>
  <c r="P178" i="1" s="1"/>
  <c r="Q178" i="1" s="1"/>
  <c r="O179" i="1"/>
  <c r="P179" i="1" s="1"/>
  <c r="Q179" i="1" s="1"/>
  <c r="O180" i="1"/>
  <c r="P180" i="1" s="1"/>
  <c r="Q180" i="1" s="1"/>
  <c r="O181" i="1"/>
  <c r="P181" i="1" s="1"/>
  <c r="Q181" i="1" s="1"/>
  <c r="O182" i="1"/>
  <c r="P182" i="1" s="1"/>
  <c r="Q182" i="1" s="1"/>
  <c r="O183" i="1"/>
  <c r="P183" i="1" s="1"/>
  <c r="Q183" i="1" s="1"/>
  <c r="O184" i="1"/>
  <c r="P184" i="1" s="1"/>
  <c r="Q184" i="1" s="1"/>
  <c r="O185" i="1"/>
  <c r="P185" i="1" s="1"/>
  <c r="Q185" i="1" s="1"/>
  <c r="O186" i="1"/>
  <c r="P186" i="1" s="1"/>
  <c r="Q186" i="1" s="1"/>
  <c r="O187" i="1"/>
  <c r="P187" i="1" s="1"/>
  <c r="Q187" i="1" s="1"/>
  <c r="O188" i="1"/>
  <c r="P188" i="1" s="1"/>
  <c r="Q188" i="1" s="1"/>
  <c r="O189" i="1"/>
  <c r="P189" i="1" s="1"/>
  <c r="Q189" i="1" s="1"/>
  <c r="O190" i="1"/>
  <c r="P190" i="1" s="1"/>
  <c r="Q190" i="1" s="1"/>
  <c r="O191" i="1"/>
  <c r="P191" i="1" s="1"/>
  <c r="Q191" i="1" s="1"/>
  <c r="O192" i="1"/>
  <c r="P192" i="1" s="1"/>
  <c r="Q192" i="1" s="1"/>
  <c r="O193" i="1"/>
  <c r="P193" i="1" s="1"/>
  <c r="Q193" i="1" s="1"/>
  <c r="O194" i="1"/>
  <c r="P194" i="1" s="1"/>
  <c r="Q194" i="1" s="1"/>
  <c r="O195" i="1"/>
  <c r="P195" i="1" s="1"/>
  <c r="Q195" i="1" s="1"/>
  <c r="O196" i="1"/>
  <c r="P196" i="1" s="1"/>
  <c r="Q196" i="1" s="1"/>
  <c r="O197" i="1"/>
  <c r="P197" i="1" s="1"/>
  <c r="Q197" i="1" s="1"/>
  <c r="O198" i="1"/>
  <c r="P198" i="1" s="1"/>
  <c r="Q198" i="1" s="1"/>
  <c r="O199" i="1"/>
  <c r="P199" i="1" s="1"/>
  <c r="Q199" i="1" s="1"/>
  <c r="O200" i="1"/>
  <c r="P200" i="1" s="1"/>
  <c r="Q200" i="1" s="1"/>
  <c r="O201" i="1"/>
  <c r="P201" i="1" s="1"/>
  <c r="Q201" i="1" s="1"/>
  <c r="O202" i="1"/>
  <c r="P202" i="1" s="1"/>
  <c r="Q202" i="1" s="1"/>
  <c r="O203" i="1"/>
  <c r="P203" i="1" s="1"/>
  <c r="Q203" i="1" s="1"/>
  <c r="O204" i="1"/>
  <c r="P204" i="1" s="1"/>
  <c r="Q204" i="1" s="1"/>
  <c r="O205" i="1"/>
  <c r="P205" i="1" s="1"/>
  <c r="Q205" i="1" s="1"/>
  <c r="O206" i="1"/>
  <c r="P206" i="1" s="1"/>
  <c r="Q206" i="1" s="1"/>
  <c r="O207" i="1"/>
  <c r="P207" i="1" s="1"/>
  <c r="Q207" i="1" s="1"/>
  <c r="O208" i="1"/>
  <c r="P208" i="1" s="1"/>
  <c r="Q208" i="1" s="1"/>
  <c r="O209" i="1"/>
  <c r="P209" i="1" s="1"/>
  <c r="Q209" i="1" s="1"/>
  <c r="O210" i="1"/>
  <c r="P210" i="1" s="1"/>
  <c r="Q210" i="1" s="1"/>
  <c r="O211" i="1"/>
  <c r="P211" i="1" s="1"/>
  <c r="Q211" i="1" s="1"/>
  <c r="O212" i="1"/>
  <c r="P212" i="1" s="1"/>
  <c r="Q212" i="1" s="1"/>
  <c r="O213" i="1"/>
  <c r="P213" i="1" s="1"/>
  <c r="Q213" i="1" s="1"/>
  <c r="O214" i="1"/>
  <c r="P214" i="1" s="1"/>
  <c r="Q214" i="1" s="1"/>
  <c r="O215" i="1"/>
  <c r="P215" i="1" s="1"/>
  <c r="Q215" i="1" s="1"/>
  <c r="O216" i="1"/>
  <c r="P216" i="1" s="1"/>
  <c r="Q216" i="1" s="1"/>
  <c r="O217" i="1"/>
  <c r="P217" i="1" s="1"/>
  <c r="Q217" i="1" s="1"/>
  <c r="O218" i="1"/>
  <c r="P218" i="1" s="1"/>
  <c r="Q218" i="1" s="1"/>
  <c r="O219" i="1"/>
  <c r="P219" i="1" s="1"/>
  <c r="Q219" i="1" s="1"/>
  <c r="O220" i="1"/>
  <c r="P220" i="1" s="1"/>
  <c r="Q220" i="1" s="1"/>
  <c r="O221" i="1"/>
  <c r="P221" i="1" s="1"/>
  <c r="Q221" i="1" s="1"/>
  <c r="O222" i="1"/>
  <c r="P222" i="1" s="1"/>
  <c r="Q222" i="1" s="1"/>
  <c r="O223" i="1"/>
  <c r="P223" i="1" s="1"/>
  <c r="Q223" i="1" s="1"/>
  <c r="O224" i="1"/>
  <c r="P224" i="1" s="1"/>
  <c r="Q224" i="1" s="1"/>
  <c r="O225" i="1"/>
  <c r="P225" i="1" s="1"/>
  <c r="Q225" i="1" s="1"/>
  <c r="O226" i="1"/>
  <c r="P226" i="1" s="1"/>
  <c r="Q226" i="1" s="1"/>
  <c r="O227" i="1"/>
  <c r="P227" i="1" s="1"/>
  <c r="Q227" i="1" s="1"/>
  <c r="O228" i="1"/>
  <c r="P228" i="1" s="1"/>
  <c r="Q228" i="1" s="1"/>
  <c r="O229" i="1"/>
  <c r="P229" i="1" s="1"/>
  <c r="Q229" i="1" s="1"/>
  <c r="O230" i="1"/>
  <c r="P230" i="1" s="1"/>
  <c r="Q230" i="1" s="1"/>
  <c r="O231" i="1"/>
  <c r="P231" i="1" s="1"/>
  <c r="Q231" i="1" s="1"/>
  <c r="O232" i="1"/>
  <c r="P232" i="1" s="1"/>
  <c r="Q232" i="1" s="1"/>
  <c r="O233" i="1"/>
  <c r="P233" i="1" s="1"/>
  <c r="Q233" i="1" s="1"/>
  <c r="O234" i="1"/>
  <c r="P234" i="1" s="1"/>
  <c r="Q234" i="1" s="1"/>
  <c r="O235" i="1"/>
  <c r="P235" i="1" s="1"/>
  <c r="Q235" i="1" s="1"/>
  <c r="O236" i="1"/>
  <c r="P236" i="1" s="1"/>
  <c r="Q236" i="1" s="1"/>
  <c r="O237" i="1"/>
  <c r="P237" i="1" s="1"/>
  <c r="Q237" i="1" s="1"/>
  <c r="O238" i="1"/>
  <c r="P238" i="1" s="1"/>
  <c r="Q238" i="1" s="1"/>
  <c r="O239" i="1"/>
  <c r="P239" i="1" s="1"/>
  <c r="Q239" i="1" s="1"/>
  <c r="O240" i="1"/>
  <c r="P240" i="1" s="1"/>
  <c r="Q240" i="1" s="1"/>
  <c r="O241" i="1"/>
  <c r="P241" i="1" s="1"/>
  <c r="Q241" i="1" s="1"/>
  <c r="O242" i="1"/>
  <c r="P242" i="1" s="1"/>
  <c r="Q242" i="1" s="1"/>
  <c r="O243" i="1"/>
  <c r="P243" i="1" s="1"/>
  <c r="Q243" i="1" s="1"/>
  <c r="O244" i="1"/>
  <c r="P244" i="1" s="1"/>
  <c r="Q244" i="1" s="1"/>
  <c r="O245" i="1"/>
  <c r="P245" i="1" s="1"/>
  <c r="Q245" i="1" s="1"/>
  <c r="O246" i="1"/>
  <c r="P246" i="1" s="1"/>
  <c r="Q246" i="1" s="1"/>
  <c r="O247" i="1"/>
  <c r="P247" i="1" s="1"/>
  <c r="Q247" i="1" s="1"/>
  <c r="O248" i="1"/>
  <c r="P248" i="1" s="1"/>
  <c r="Q248" i="1" s="1"/>
  <c r="O249" i="1"/>
  <c r="P249" i="1" s="1"/>
  <c r="Q249" i="1" s="1"/>
  <c r="O250" i="1"/>
  <c r="P250" i="1" s="1"/>
  <c r="Q250" i="1" s="1"/>
  <c r="O251" i="1"/>
  <c r="P251" i="1" s="1"/>
  <c r="Q251" i="1" s="1"/>
  <c r="O252" i="1"/>
  <c r="P252" i="1" s="1"/>
  <c r="Q252" i="1" s="1"/>
  <c r="O253" i="1"/>
  <c r="P253" i="1" s="1"/>
  <c r="Q253" i="1" s="1"/>
  <c r="O254" i="1"/>
  <c r="P254" i="1" s="1"/>
  <c r="Q254" i="1" s="1"/>
  <c r="O255" i="1"/>
  <c r="P255" i="1" s="1"/>
  <c r="Q255" i="1" s="1"/>
  <c r="O256" i="1"/>
  <c r="P256" i="1" s="1"/>
  <c r="Q256" i="1" s="1"/>
  <c r="O257" i="1"/>
  <c r="P257" i="1" s="1"/>
  <c r="Q257" i="1" s="1"/>
  <c r="O258" i="1"/>
  <c r="P258" i="1" s="1"/>
  <c r="Q258" i="1" s="1"/>
  <c r="O259" i="1"/>
  <c r="P259" i="1" s="1"/>
  <c r="Q259" i="1" s="1"/>
  <c r="O260" i="1"/>
  <c r="P260" i="1" s="1"/>
  <c r="Q260" i="1" s="1"/>
  <c r="O261" i="1"/>
  <c r="P261" i="1" s="1"/>
  <c r="Q261" i="1" s="1"/>
  <c r="O262" i="1"/>
  <c r="P262" i="1" s="1"/>
  <c r="Q262" i="1" s="1"/>
  <c r="O263" i="1"/>
  <c r="P263" i="1" s="1"/>
  <c r="Q263" i="1" s="1"/>
  <c r="O264" i="1"/>
  <c r="P264" i="1" s="1"/>
  <c r="Q264" i="1" s="1"/>
  <c r="O265" i="1"/>
  <c r="P265" i="1" s="1"/>
  <c r="Q265" i="1" s="1"/>
  <c r="O266" i="1"/>
  <c r="P266" i="1" s="1"/>
  <c r="Q266" i="1" s="1"/>
  <c r="O267" i="1"/>
  <c r="P267" i="1" s="1"/>
  <c r="Q267" i="1" s="1"/>
  <c r="O268" i="1"/>
  <c r="P268" i="1" s="1"/>
  <c r="Q268" i="1" s="1"/>
  <c r="O269" i="1"/>
  <c r="P269" i="1" s="1"/>
  <c r="Q269" i="1" s="1"/>
  <c r="O270" i="1"/>
  <c r="P270" i="1" s="1"/>
  <c r="Q270" i="1" s="1"/>
  <c r="O271" i="1"/>
  <c r="P271" i="1" s="1"/>
  <c r="Q271" i="1" s="1"/>
  <c r="O272" i="1"/>
  <c r="P272" i="1" s="1"/>
  <c r="Q272" i="1" s="1"/>
  <c r="O273" i="1"/>
  <c r="P273" i="1" s="1"/>
  <c r="Q273" i="1" s="1"/>
  <c r="O274" i="1"/>
  <c r="P274" i="1" s="1"/>
  <c r="Q274" i="1" s="1"/>
  <c r="O275" i="1"/>
  <c r="P275" i="1" s="1"/>
  <c r="Q275" i="1" s="1"/>
  <c r="O276" i="1"/>
  <c r="P276" i="1" s="1"/>
  <c r="Q276" i="1" s="1"/>
  <c r="O277" i="1"/>
  <c r="P277" i="1" s="1"/>
  <c r="Q277" i="1" s="1"/>
  <c r="O278" i="1"/>
  <c r="P278" i="1" s="1"/>
  <c r="Q278" i="1" s="1"/>
  <c r="O279" i="1"/>
  <c r="P279" i="1" s="1"/>
  <c r="Q279" i="1" s="1"/>
  <c r="O280" i="1"/>
  <c r="P280" i="1" s="1"/>
  <c r="Q280" i="1" s="1"/>
  <c r="O281" i="1"/>
  <c r="P281" i="1" s="1"/>
  <c r="Q281" i="1" s="1"/>
  <c r="O282" i="1"/>
  <c r="P282" i="1" s="1"/>
  <c r="Q282" i="1" s="1"/>
  <c r="O283" i="1"/>
  <c r="P283" i="1" s="1"/>
  <c r="Q283" i="1" s="1"/>
  <c r="O284" i="1"/>
  <c r="P284" i="1" s="1"/>
  <c r="Q284" i="1" s="1"/>
  <c r="O285" i="1"/>
  <c r="P285" i="1" s="1"/>
  <c r="Q285" i="1" s="1"/>
  <c r="O286" i="1"/>
  <c r="P286" i="1" s="1"/>
  <c r="Q286" i="1" s="1"/>
  <c r="O287" i="1"/>
  <c r="P287" i="1" s="1"/>
  <c r="Q287" i="1" s="1"/>
  <c r="O288" i="1"/>
  <c r="P288" i="1" s="1"/>
  <c r="Q288" i="1" s="1"/>
  <c r="O289" i="1"/>
  <c r="P289" i="1" s="1"/>
  <c r="Q289" i="1" s="1"/>
  <c r="O290" i="1"/>
  <c r="P290" i="1" s="1"/>
  <c r="Q290" i="1" s="1"/>
  <c r="O291" i="1"/>
  <c r="P291" i="1" s="1"/>
  <c r="Q291" i="1" s="1"/>
  <c r="O292" i="1"/>
  <c r="P292" i="1" s="1"/>
  <c r="Q292" i="1" s="1"/>
  <c r="O293" i="1"/>
  <c r="P293" i="1" s="1"/>
  <c r="Q293" i="1" s="1"/>
  <c r="O294" i="1"/>
  <c r="P294" i="1" s="1"/>
  <c r="Q294" i="1" s="1"/>
  <c r="O295" i="1"/>
  <c r="P295" i="1" s="1"/>
  <c r="Q295" i="1" s="1"/>
  <c r="O296" i="1"/>
  <c r="P296" i="1" s="1"/>
  <c r="Q296" i="1" s="1"/>
  <c r="O297" i="1"/>
  <c r="P297" i="1" s="1"/>
  <c r="Q297" i="1" s="1"/>
  <c r="O298" i="1"/>
  <c r="P298" i="1" s="1"/>
  <c r="Q298" i="1" s="1"/>
  <c r="O299" i="1"/>
  <c r="P299" i="1" s="1"/>
  <c r="Q299" i="1" s="1"/>
  <c r="O300" i="1"/>
  <c r="P300" i="1" s="1"/>
  <c r="Q300" i="1" s="1"/>
  <c r="O301" i="1"/>
  <c r="P301" i="1" s="1"/>
  <c r="Q301" i="1" s="1"/>
  <c r="O302" i="1"/>
  <c r="P302" i="1" s="1"/>
  <c r="Q302" i="1" s="1"/>
  <c r="O303" i="1"/>
  <c r="P303" i="1" s="1"/>
  <c r="Q303" i="1" s="1"/>
  <c r="O304" i="1"/>
  <c r="P304" i="1" s="1"/>
  <c r="Q304" i="1" s="1"/>
  <c r="O305" i="1"/>
  <c r="P305" i="1" s="1"/>
  <c r="Q305" i="1" s="1"/>
  <c r="O306" i="1"/>
  <c r="P306" i="1" s="1"/>
  <c r="Q306" i="1" s="1"/>
  <c r="O307" i="1"/>
  <c r="P307" i="1" s="1"/>
  <c r="Q307" i="1" s="1"/>
  <c r="O308" i="1"/>
  <c r="P308" i="1" s="1"/>
  <c r="Q308" i="1" s="1"/>
  <c r="O309" i="1"/>
  <c r="P309" i="1" s="1"/>
  <c r="Q309" i="1" s="1"/>
  <c r="O310" i="1"/>
  <c r="P310" i="1" s="1"/>
  <c r="Q310" i="1" s="1"/>
  <c r="O311" i="1"/>
  <c r="P311" i="1" s="1"/>
  <c r="Q311" i="1" s="1"/>
  <c r="O312" i="1"/>
  <c r="P312" i="1" s="1"/>
  <c r="Q312" i="1" s="1"/>
  <c r="O313" i="1"/>
  <c r="P313" i="1" s="1"/>
  <c r="Q313" i="1" s="1"/>
  <c r="O314" i="1"/>
  <c r="P314" i="1" s="1"/>
  <c r="Q314" i="1" s="1"/>
  <c r="O315" i="1"/>
  <c r="P315" i="1" s="1"/>
  <c r="Q315" i="1" s="1"/>
  <c r="O316" i="1"/>
  <c r="P316" i="1" s="1"/>
  <c r="Q316" i="1" s="1"/>
  <c r="O317" i="1"/>
  <c r="P317" i="1" s="1"/>
  <c r="Q317" i="1" s="1"/>
  <c r="O318" i="1"/>
  <c r="P318" i="1" s="1"/>
  <c r="Q318" i="1" s="1"/>
  <c r="O319" i="1"/>
  <c r="P319" i="1" s="1"/>
  <c r="Q319" i="1" s="1"/>
  <c r="O320" i="1"/>
  <c r="P320" i="1" s="1"/>
  <c r="Q320" i="1" s="1"/>
  <c r="O321" i="1"/>
  <c r="P321" i="1" s="1"/>
  <c r="Q321" i="1" s="1"/>
  <c r="O322" i="1"/>
  <c r="P322" i="1" s="1"/>
  <c r="Q322" i="1" s="1"/>
  <c r="O323" i="1"/>
  <c r="P323" i="1" s="1"/>
  <c r="Q323" i="1" s="1"/>
  <c r="O324" i="1"/>
  <c r="P324" i="1" s="1"/>
  <c r="Q324" i="1" s="1"/>
  <c r="O325" i="1"/>
  <c r="P325" i="1" s="1"/>
  <c r="Q325" i="1" s="1"/>
  <c r="O326" i="1"/>
  <c r="P326" i="1" s="1"/>
  <c r="Q326" i="1" s="1"/>
  <c r="O327" i="1"/>
  <c r="P327" i="1" s="1"/>
  <c r="Q327" i="1" s="1"/>
  <c r="O328" i="1"/>
  <c r="P328" i="1" s="1"/>
  <c r="Q328" i="1" s="1"/>
  <c r="O329" i="1"/>
  <c r="P329" i="1" s="1"/>
  <c r="Q329" i="1" s="1"/>
  <c r="O330" i="1"/>
  <c r="P330" i="1" s="1"/>
  <c r="Q330" i="1" s="1"/>
  <c r="O331" i="1"/>
  <c r="P331" i="1" s="1"/>
  <c r="Q331" i="1" s="1"/>
  <c r="O332" i="1"/>
  <c r="P332" i="1" s="1"/>
  <c r="Q332" i="1" s="1"/>
  <c r="O333" i="1"/>
  <c r="P333" i="1" s="1"/>
  <c r="Q333" i="1" s="1"/>
  <c r="O334" i="1"/>
  <c r="P334" i="1" s="1"/>
  <c r="Q334" i="1" s="1"/>
  <c r="O335" i="1"/>
  <c r="P335" i="1" s="1"/>
  <c r="Q335" i="1" s="1"/>
  <c r="O336" i="1"/>
  <c r="P336" i="1" s="1"/>
  <c r="Q336" i="1" s="1"/>
  <c r="O337" i="1"/>
  <c r="P337" i="1" s="1"/>
  <c r="Q337" i="1" s="1"/>
  <c r="O338" i="1"/>
  <c r="P338" i="1" s="1"/>
  <c r="Q338" i="1" s="1"/>
  <c r="O339" i="1"/>
  <c r="P339" i="1" s="1"/>
  <c r="Q339" i="1" s="1"/>
  <c r="O340" i="1"/>
  <c r="P340" i="1" s="1"/>
  <c r="Q340" i="1" s="1"/>
  <c r="O341" i="1"/>
  <c r="P341" i="1" s="1"/>
  <c r="Q341" i="1" s="1"/>
  <c r="O342" i="1"/>
  <c r="P342" i="1" s="1"/>
  <c r="Q342" i="1" s="1"/>
  <c r="O343" i="1"/>
  <c r="P343" i="1" s="1"/>
  <c r="Q343" i="1" s="1"/>
  <c r="O344" i="1"/>
  <c r="P344" i="1" s="1"/>
  <c r="Q344" i="1" s="1"/>
  <c r="O345" i="1"/>
  <c r="P345" i="1" s="1"/>
  <c r="Q345" i="1" s="1"/>
  <c r="O346" i="1"/>
  <c r="P346" i="1" s="1"/>
  <c r="Q346" i="1" s="1"/>
  <c r="O347" i="1"/>
  <c r="P347" i="1" s="1"/>
  <c r="Q347" i="1" s="1"/>
  <c r="O348" i="1"/>
  <c r="P348" i="1" s="1"/>
  <c r="Q348" i="1" s="1"/>
  <c r="O349" i="1"/>
  <c r="P349" i="1" s="1"/>
  <c r="Q349" i="1" s="1"/>
  <c r="O350" i="1"/>
  <c r="P350" i="1" s="1"/>
  <c r="Q350" i="1" s="1"/>
  <c r="O351" i="1"/>
  <c r="P351" i="1" s="1"/>
  <c r="Q351" i="1" s="1"/>
  <c r="O352" i="1"/>
  <c r="P352" i="1" s="1"/>
  <c r="Q352" i="1" s="1"/>
  <c r="O353" i="1"/>
  <c r="P353" i="1" s="1"/>
  <c r="Q353" i="1" s="1"/>
  <c r="O354" i="1"/>
  <c r="P354" i="1" s="1"/>
  <c r="Q354" i="1" s="1"/>
  <c r="O355" i="1"/>
  <c r="P355" i="1" s="1"/>
  <c r="Q355" i="1" s="1"/>
  <c r="O356" i="1"/>
  <c r="P356" i="1" s="1"/>
  <c r="Q356" i="1" s="1"/>
  <c r="O357" i="1"/>
  <c r="P357" i="1" s="1"/>
  <c r="Q357" i="1" s="1"/>
  <c r="O358" i="1"/>
  <c r="P358" i="1" s="1"/>
  <c r="Q358" i="1" s="1"/>
  <c r="O359" i="1"/>
  <c r="P359" i="1" s="1"/>
  <c r="Q359" i="1" s="1"/>
  <c r="O360" i="1"/>
  <c r="P360" i="1" s="1"/>
  <c r="Q360" i="1" s="1"/>
  <c r="O361" i="1"/>
  <c r="P361" i="1" s="1"/>
  <c r="Q361" i="1" s="1"/>
  <c r="O362" i="1"/>
  <c r="P362" i="1" s="1"/>
  <c r="Q362" i="1" s="1"/>
  <c r="O363" i="1"/>
  <c r="P363" i="1" s="1"/>
  <c r="Q363" i="1" s="1"/>
  <c r="O364" i="1"/>
  <c r="P364" i="1" s="1"/>
  <c r="Q364" i="1" s="1"/>
  <c r="O365" i="1"/>
  <c r="P365" i="1" s="1"/>
  <c r="Q365" i="1" s="1"/>
  <c r="O366" i="1"/>
  <c r="P366" i="1" s="1"/>
  <c r="Q366" i="1" s="1"/>
  <c r="O367" i="1"/>
  <c r="P367" i="1" s="1"/>
  <c r="Q367" i="1" s="1"/>
  <c r="O368" i="1"/>
  <c r="P368" i="1" s="1"/>
  <c r="Q368" i="1" s="1"/>
  <c r="O369" i="1"/>
  <c r="P369" i="1" s="1"/>
  <c r="Q369" i="1" s="1"/>
  <c r="O370" i="1"/>
  <c r="P370" i="1" s="1"/>
  <c r="Q370" i="1" s="1"/>
  <c r="O371" i="1"/>
  <c r="P371" i="1" s="1"/>
  <c r="Q371" i="1" s="1"/>
  <c r="O372" i="1"/>
  <c r="P372" i="1" s="1"/>
  <c r="Q372" i="1" s="1"/>
  <c r="O373" i="1"/>
  <c r="P373" i="1" s="1"/>
  <c r="Q373" i="1" s="1"/>
  <c r="O374" i="1"/>
  <c r="P374" i="1" s="1"/>
  <c r="Q374" i="1" s="1"/>
  <c r="O375" i="1"/>
  <c r="P375" i="1" s="1"/>
  <c r="Q375" i="1" s="1"/>
  <c r="O376" i="1"/>
  <c r="P376" i="1" s="1"/>
  <c r="Q376" i="1" s="1"/>
  <c r="O377" i="1"/>
  <c r="P377" i="1" s="1"/>
  <c r="Q377" i="1" s="1"/>
  <c r="O378" i="1"/>
  <c r="P378" i="1" s="1"/>
  <c r="Q378" i="1" s="1"/>
  <c r="O379" i="1"/>
  <c r="P379" i="1" s="1"/>
  <c r="Q379" i="1" s="1"/>
  <c r="O380" i="1"/>
  <c r="P380" i="1" s="1"/>
  <c r="Q380" i="1" s="1"/>
  <c r="O381" i="1"/>
  <c r="P381" i="1" s="1"/>
  <c r="Q381" i="1" s="1"/>
  <c r="O382" i="1"/>
  <c r="P382" i="1" s="1"/>
  <c r="Q382" i="1" s="1"/>
  <c r="O383" i="1"/>
  <c r="P383" i="1" s="1"/>
  <c r="Q383" i="1" s="1"/>
  <c r="O384" i="1"/>
  <c r="P384" i="1" s="1"/>
  <c r="Q384" i="1" s="1"/>
  <c r="O385" i="1"/>
  <c r="P385" i="1" s="1"/>
  <c r="Q385" i="1" s="1"/>
  <c r="O386" i="1"/>
  <c r="P386" i="1" s="1"/>
  <c r="Q386" i="1" s="1"/>
  <c r="O387" i="1"/>
  <c r="P387" i="1" s="1"/>
  <c r="Q387" i="1" s="1"/>
  <c r="O388" i="1"/>
  <c r="P388" i="1" s="1"/>
  <c r="Q388" i="1" s="1"/>
  <c r="O389" i="1"/>
  <c r="P389" i="1" s="1"/>
  <c r="Q389" i="1" s="1"/>
  <c r="O390" i="1"/>
  <c r="P390" i="1" s="1"/>
  <c r="Q390" i="1" s="1"/>
  <c r="O391" i="1"/>
  <c r="P391" i="1" s="1"/>
  <c r="Q391" i="1" s="1"/>
  <c r="O392" i="1"/>
  <c r="P392" i="1" s="1"/>
  <c r="Q392" i="1" s="1"/>
  <c r="O393" i="1"/>
  <c r="P393" i="1" s="1"/>
  <c r="Q393" i="1" s="1"/>
  <c r="O394" i="1"/>
  <c r="P394" i="1" s="1"/>
  <c r="Q394" i="1" s="1"/>
  <c r="O395" i="1"/>
  <c r="P395" i="1" s="1"/>
  <c r="Q395" i="1" s="1"/>
  <c r="O396" i="1"/>
  <c r="P396" i="1" s="1"/>
  <c r="Q396" i="1" s="1"/>
  <c r="O397" i="1"/>
  <c r="P397" i="1" s="1"/>
  <c r="Q397" i="1" s="1"/>
  <c r="O398" i="1"/>
  <c r="P398" i="1" s="1"/>
  <c r="Q398" i="1" s="1"/>
  <c r="O399" i="1"/>
  <c r="P399" i="1" s="1"/>
  <c r="Q399" i="1" s="1"/>
  <c r="O400" i="1"/>
  <c r="P400" i="1" s="1"/>
  <c r="Q400" i="1" s="1"/>
  <c r="O401" i="1"/>
  <c r="P401" i="1" s="1"/>
  <c r="Q401" i="1" s="1"/>
  <c r="O402" i="1"/>
  <c r="P402" i="1" s="1"/>
  <c r="Q402" i="1" s="1"/>
  <c r="O403" i="1"/>
  <c r="P403" i="1" s="1"/>
  <c r="Q403" i="1" s="1"/>
  <c r="O404" i="1"/>
  <c r="P404" i="1" s="1"/>
  <c r="Q404" i="1" s="1"/>
  <c r="O405" i="1"/>
  <c r="P405" i="1" s="1"/>
  <c r="Q405" i="1" s="1"/>
  <c r="O406" i="1"/>
  <c r="P406" i="1" s="1"/>
  <c r="Q406" i="1" s="1"/>
  <c r="O407" i="1"/>
  <c r="P407" i="1" s="1"/>
  <c r="Q407" i="1" s="1"/>
  <c r="O408" i="1"/>
  <c r="P408" i="1" s="1"/>
  <c r="Q408" i="1" s="1"/>
  <c r="O409" i="1"/>
  <c r="P409" i="1" s="1"/>
  <c r="Q409" i="1" s="1"/>
  <c r="O410" i="1"/>
  <c r="P410" i="1" s="1"/>
  <c r="Q410" i="1" s="1"/>
  <c r="O411" i="1"/>
  <c r="P411" i="1" s="1"/>
  <c r="Q411" i="1" s="1"/>
  <c r="O412" i="1"/>
  <c r="P412" i="1" s="1"/>
  <c r="Q412" i="1" s="1"/>
  <c r="O413" i="1"/>
  <c r="P413" i="1" s="1"/>
  <c r="Q413" i="1" s="1"/>
  <c r="O414" i="1"/>
  <c r="P414" i="1" s="1"/>
  <c r="Q414" i="1" s="1"/>
  <c r="O415" i="1"/>
  <c r="P415" i="1" s="1"/>
  <c r="Q415" i="1" s="1"/>
  <c r="O416" i="1"/>
  <c r="P416" i="1" s="1"/>
  <c r="Q416" i="1" s="1"/>
  <c r="O417" i="1"/>
  <c r="P417" i="1" s="1"/>
  <c r="Q417" i="1" s="1"/>
  <c r="O418" i="1"/>
  <c r="P418" i="1" s="1"/>
  <c r="Q418" i="1" s="1"/>
  <c r="O419" i="1"/>
  <c r="P419" i="1" s="1"/>
  <c r="Q419" i="1" s="1"/>
  <c r="O420" i="1"/>
  <c r="P420" i="1" s="1"/>
  <c r="Q420" i="1" s="1"/>
  <c r="O421" i="1"/>
  <c r="P421" i="1" s="1"/>
  <c r="Q421" i="1" s="1"/>
  <c r="O422" i="1"/>
  <c r="P422" i="1" s="1"/>
  <c r="Q422" i="1" s="1"/>
  <c r="O423" i="1"/>
  <c r="P423" i="1" s="1"/>
  <c r="Q423" i="1" s="1"/>
  <c r="O424" i="1"/>
  <c r="P424" i="1" s="1"/>
  <c r="Q424" i="1" s="1"/>
  <c r="O425" i="1"/>
  <c r="P425" i="1" s="1"/>
  <c r="Q425" i="1" s="1"/>
  <c r="O426" i="1"/>
  <c r="P426" i="1" s="1"/>
  <c r="Q426" i="1" s="1"/>
  <c r="O427" i="1"/>
  <c r="P427" i="1" s="1"/>
  <c r="Q427" i="1" s="1"/>
  <c r="O428" i="1"/>
  <c r="P428" i="1" s="1"/>
  <c r="Q428" i="1" s="1"/>
  <c r="O429" i="1"/>
  <c r="P429" i="1" s="1"/>
  <c r="Q429" i="1" s="1"/>
  <c r="O430" i="1"/>
  <c r="P430" i="1" s="1"/>
  <c r="Q430" i="1" s="1"/>
  <c r="O431" i="1"/>
  <c r="P431" i="1" s="1"/>
  <c r="Q431" i="1" s="1"/>
  <c r="O432" i="1"/>
  <c r="P432" i="1" s="1"/>
  <c r="Q432" i="1" s="1"/>
  <c r="O433" i="1"/>
  <c r="P433" i="1" s="1"/>
  <c r="Q433" i="1" s="1"/>
  <c r="O434" i="1"/>
  <c r="P434" i="1" s="1"/>
  <c r="Q434" i="1" s="1"/>
  <c r="O435" i="1"/>
  <c r="P435" i="1" s="1"/>
  <c r="Q435" i="1" s="1"/>
  <c r="O436" i="1"/>
  <c r="P436" i="1" s="1"/>
  <c r="Q436" i="1" s="1"/>
  <c r="O437" i="1"/>
  <c r="P437" i="1" s="1"/>
  <c r="Q437" i="1" s="1"/>
  <c r="O438" i="1"/>
  <c r="P438" i="1" s="1"/>
  <c r="Q438" i="1" s="1"/>
  <c r="O439" i="1"/>
  <c r="P439" i="1" s="1"/>
  <c r="Q439" i="1" s="1"/>
  <c r="O440" i="1"/>
  <c r="P440" i="1" s="1"/>
  <c r="Q440" i="1" s="1"/>
  <c r="O441" i="1"/>
  <c r="P441" i="1" s="1"/>
  <c r="Q441" i="1" s="1"/>
  <c r="O442" i="1"/>
  <c r="P442" i="1" s="1"/>
  <c r="Q442" i="1" s="1"/>
  <c r="O443" i="1"/>
  <c r="P443" i="1" s="1"/>
  <c r="Q443" i="1" s="1"/>
  <c r="O444" i="1"/>
  <c r="P444" i="1" s="1"/>
  <c r="Q444" i="1" s="1"/>
  <c r="O445" i="1"/>
  <c r="P445" i="1" s="1"/>
  <c r="Q445" i="1" s="1"/>
  <c r="O446" i="1"/>
  <c r="P446" i="1" s="1"/>
  <c r="Q446" i="1" s="1"/>
  <c r="O447" i="1"/>
  <c r="P447" i="1" s="1"/>
  <c r="Q447" i="1" s="1"/>
  <c r="O448" i="1"/>
  <c r="P448" i="1" s="1"/>
  <c r="Q448" i="1" s="1"/>
  <c r="O449" i="1"/>
  <c r="P449" i="1" s="1"/>
  <c r="Q449" i="1" s="1"/>
  <c r="O450" i="1"/>
  <c r="P450" i="1" s="1"/>
  <c r="Q450" i="1" s="1"/>
  <c r="O451" i="1"/>
  <c r="P451" i="1" s="1"/>
  <c r="Q451" i="1" s="1"/>
  <c r="O452" i="1"/>
  <c r="P452" i="1" s="1"/>
  <c r="Q452" i="1" s="1"/>
  <c r="O453" i="1"/>
  <c r="P453" i="1" s="1"/>
  <c r="Q453" i="1" s="1"/>
  <c r="O454" i="1"/>
  <c r="P454" i="1" s="1"/>
  <c r="Q454" i="1" s="1"/>
  <c r="O455" i="1"/>
  <c r="P455" i="1" s="1"/>
  <c r="Q455" i="1" s="1"/>
  <c r="O456" i="1"/>
  <c r="P456" i="1" s="1"/>
  <c r="Q456" i="1" s="1"/>
  <c r="O457" i="1"/>
  <c r="P457" i="1" s="1"/>
  <c r="Q457" i="1" s="1"/>
  <c r="O458" i="1"/>
  <c r="P458" i="1" s="1"/>
  <c r="Q458" i="1" s="1"/>
  <c r="O459" i="1"/>
  <c r="P459" i="1" s="1"/>
  <c r="Q459" i="1" s="1"/>
  <c r="O460" i="1"/>
  <c r="P460" i="1" s="1"/>
  <c r="Q460" i="1" s="1"/>
  <c r="O461" i="1"/>
  <c r="P461" i="1" s="1"/>
  <c r="Q461" i="1" s="1"/>
  <c r="O462" i="1"/>
  <c r="P462" i="1" s="1"/>
  <c r="Q462" i="1" s="1"/>
  <c r="O463" i="1"/>
  <c r="P463" i="1" s="1"/>
  <c r="Q463" i="1" s="1"/>
  <c r="O464" i="1"/>
  <c r="P464" i="1" s="1"/>
  <c r="Q464" i="1" s="1"/>
  <c r="O465" i="1"/>
  <c r="P465" i="1" s="1"/>
  <c r="Q465" i="1" s="1"/>
  <c r="O466" i="1"/>
  <c r="P466" i="1" s="1"/>
  <c r="Q466" i="1" s="1"/>
  <c r="O467" i="1"/>
  <c r="P467" i="1" s="1"/>
  <c r="Q467" i="1" s="1"/>
  <c r="O468" i="1"/>
  <c r="P468" i="1" s="1"/>
  <c r="Q468" i="1" s="1"/>
  <c r="O469" i="1"/>
  <c r="P469" i="1" s="1"/>
  <c r="Q469" i="1" s="1"/>
  <c r="O470" i="1"/>
  <c r="P470" i="1" s="1"/>
  <c r="Q470" i="1" s="1"/>
  <c r="O471" i="1"/>
  <c r="P471" i="1" s="1"/>
  <c r="Q471" i="1" s="1"/>
  <c r="O472" i="1"/>
  <c r="P472" i="1" s="1"/>
  <c r="Q472" i="1" s="1"/>
  <c r="O473" i="1"/>
  <c r="P473" i="1" s="1"/>
  <c r="Q473" i="1" s="1"/>
  <c r="O474" i="1"/>
  <c r="P474" i="1" s="1"/>
  <c r="Q474" i="1" s="1"/>
  <c r="O475" i="1"/>
  <c r="P475" i="1" s="1"/>
  <c r="Q475" i="1" s="1"/>
  <c r="O476" i="1"/>
  <c r="P476" i="1" s="1"/>
  <c r="Q476" i="1" s="1"/>
  <c r="O477" i="1"/>
  <c r="P477" i="1" s="1"/>
  <c r="Q477" i="1" s="1"/>
  <c r="O478" i="1"/>
  <c r="P478" i="1" s="1"/>
  <c r="Q478" i="1" s="1"/>
  <c r="O479" i="1"/>
  <c r="P479" i="1" s="1"/>
  <c r="Q479" i="1" s="1"/>
  <c r="O480" i="1"/>
  <c r="P480" i="1" s="1"/>
  <c r="Q480" i="1" s="1"/>
  <c r="O481" i="1"/>
  <c r="P481" i="1" s="1"/>
  <c r="Q481" i="1" s="1"/>
  <c r="O482" i="1"/>
  <c r="P482" i="1" s="1"/>
  <c r="Q482" i="1" s="1"/>
  <c r="O483" i="1"/>
  <c r="P483" i="1" s="1"/>
  <c r="Q483" i="1" s="1"/>
  <c r="O484" i="1"/>
  <c r="P484" i="1" s="1"/>
  <c r="Q484" i="1" s="1"/>
  <c r="O485" i="1"/>
  <c r="P485" i="1" s="1"/>
  <c r="Q485" i="1" s="1"/>
  <c r="O486" i="1"/>
  <c r="P486" i="1" s="1"/>
  <c r="Q486" i="1" s="1"/>
  <c r="O487" i="1"/>
  <c r="P487" i="1" s="1"/>
  <c r="Q487" i="1" s="1"/>
  <c r="O488" i="1"/>
  <c r="P488" i="1" s="1"/>
  <c r="Q488" i="1" s="1"/>
  <c r="O489" i="1"/>
  <c r="P489" i="1" s="1"/>
  <c r="Q489" i="1" s="1"/>
  <c r="O490" i="1"/>
  <c r="P490" i="1" s="1"/>
  <c r="Q490" i="1" s="1"/>
  <c r="O491" i="1"/>
  <c r="P491" i="1" s="1"/>
  <c r="Q491" i="1" s="1"/>
  <c r="O492" i="1"/>
  <c r="P492" i="1" s="1"/>
  <c r="Q492" i="1" s="1"/>
  <c r="O493" i="1"/>
  <c r="P493" i="1" s="1"/>
  <c r="Q493" i="1" s="1"/>
  <c r="O494" i="1"/>
  <c r="P494" i="1" s="1"/>
  <c r="Q494" i="1" s="1"/>
  <c r="O495" i="1"/>
  <c r="P495" i="1" s="1"/>
  <c r="Q495" i="1" s="1"/>
  <c r="O496" i="1"/>
  <c r="P496" i="1" s="1"/>
  <c r="Q496" i="1" s="1"/>
  <c r="O497" i="1"/>
  <c r="P497" i="1" s="1"/>
  <c r="Q497" i="1" s="1"/>
  <c r="O498" i="1"/>
  <c r="P498" i="1" s="1"/>
  <c r="Q498" i="1" s="1"/>
  <c r="O499" i="1"/>
  <c r="P499" i="1" s="1"/>
  <c r="Q499" i="1" s="1"/>
  <c r="O500" i="1"/>
  <c r="P500" i="1" s="1"/>
  <c r="Q500" i="1" s="1"/>
  <c r="O501" i="1"/>
  <c r="P501" i="1" s="1"/>
  <c r="Q501" i="1" s="1"/>
  <c r="O502" i="1"/>
  <c r="P502" i="1" s="1"/>
  <c r="Q502" i="1" s="1"/>
  <c r="O503" i="1"/>
  <c r="P503" i="1" s="1"/>
  <c r="Q503" i="1" s="1"/>
  <c r="O504" i="1"/>
  <c r="P504" i="1" s="1"/>
  <c r="Q504" i="1" s="1"/>
  <c r="O505" i="1"/>
  <c r="P505" i="1" s="1"/>
  <c r="Q505" i="1" s="1"/>
  <c r="O506" i="1"/>
  <c r="P506" i="1" s="1"/>
  <c r="Q506" i="1" s="1"/>
  <c r="O507" i="1"/>
  <c r="P507" i="1" s="1"/>
  <c r="Q507" i="1" s="1"/>
  <c r="O508" i="1"/>
  <c r="P508" i="1" s="1"/>
  <c r="Q508" i="1" s="1"/>
  <c r="O509" i="1"/>
  <c r="P509" i="1" s="1"/>
  <c r="Q509" i="1" s="1"/>
  <c r="O510" i="1"/>
  <c r="P510" i="1" s="1"/>
  <c r="Q510" i="1" s="1"/>
  <c r="O511" i="1"/>
  <c r="P511" i="1" s="1"/>
  <c r="Q511" i="1" s="1"/>
  <c r="O512" i="1"/>
  <c r="P512" i="1" s="1"/>
  <c r="Q512" i="1" s="1"/>
  <c r="O513" i="1"/>
  <c r="P513" i="1" s="1"/>
  <c r="Q513" i="1" s="1"/>
  <c r="O514" i="1"/>
  <c r="P514" i="1" s="1"/>
  <c r="Q514" i="1" s="1"/>
  <c r="O515" i="1"/>
  <c r="P515" i="1" s="1"/>
  <c r="Q515" i="1" s="1"/>
  <c r="O516" i="1"/>
  <c r="P516" i="1" s="1"/>
  <c r="Q516" i="1" s="1"/>
  <c r="O517" i="1"/>
  <c r="P517" i="1" s="1"/>
  <c r="Q517" i="1" s="1"/>
  <c r="O518" i="1"/>
  <c r="P518" i="1" s="1"/>
  <c r="Q518" i="1" s="1"/>
  <c r="O519" i="1"/>
  <c r="P519" i="1" s="1"/>
  <c r="Q519" i="1" s="1"/>
  <c r="O520" i="1"/>
  <c r="P520" i="1" s="1"/>
  <c r="Q520" i="1" s="1"/>
  <c r="O521" i="1"/>
  <c r="P521" i="1" s="1"/>
  <c r="Q521" i="1" s="1"/>
  <c r="O522" i="1"/>
  <c r="P522" i="1" s="1"/>
  <c r="Q522" i="1" s="1"/>
  <c r="O523" i="1"/>
  <c r="P523" i="1" s="1"/>
  <c r="Q523" i="1" s="1"/>
  <c r="O524" i="1"/>
  <c r="P524" i="1" s="1"/>
  <c r="Q524" i="1" s="1"/>
  <c r="O525" i="1"/>
  <c r="P525" i="1" s="1"/>
  <c r="Q525" i="1" s="1"/>
  <c r="O526" i="1"/>
  <c r="P526" i="1" s="1"/>
  <c r="Q526" i="1" s="1"/>
  <c r="O527" i="1"/>
  <c r="P527" i="1" s="1"/>
  <c r="Q527" i="1" s="1"/>
  <c r="O528" i="1"/>
  <c r="P528" i="1" s="1"/>
  <c r="Q528" i="1" s="1"/>
  <c r="O529" i="1"/>
  <c r="P529" i="1" s="1"/>
  <c r="Q529" i="1" s="1"/>
  <c r="O530" i="1"/>
  <c r="P530" i="1" s="1"/>
  <c r="Q530" i="1" s="1"/>
  <c r="O531" i="1"/>
  <c r="P531" i="1" s="1"/>
  <c r="Q531" i="1" s="1"/>
  <c r="O532" i="1"/>
  <c r="P532" i="1" s="1"/>
  <c r="Q532" i="1" s="1"/>
  <c r="O533" i="1"/>
  <c r="P533" i="1" s="1"/>
  <c r="Q533" i="1" s="1"/>
  <c r="O534" i="1"/>
  <c r="P534" i="1" s="1"/>
  <c r="Q534" i="1" s="1"/>
  <c r="O535" i="1"/>
  <c r="P535" i="1" s="1"/>
  <c r="Q535" i="1" s="1"/>
  <c r="O536" i="1"/>
  <c r="P536" i="1" s="1"/>
  <c r="Q536" i="1" s="1"/>
  <c r="O537" i="1"/>
  <c r="P537" i="1" s="1"/>
  <c r="Q537" i="1" s="1"/>
  <c r="O538" i="1"/>
  <c r="P538" i="1" s="1"/>
  <c r="Q538" i="1" s="1"/>
  <c r="O539" i="1"/>
  <c r="P539" i="1" s="1"/>
  <c r="Q539" i="1" s="1"/>
  <c r="O540" i="1"/>
  <c r="P540" i="1" s="1"/>
  <c r="Q540" i="1" s="1"/>
  <c r="O541" i="1"/>
  <c r="P541" i="1" s="1"/>
  <c r="Q541" i="1" s="1"/>
  <c r="O542" i="1"/>
  <c r="P542" i="1" s="1"/>
  <c r="Q542" i="1" s="1"/>
  <c r="O543" i="1"/>
  <c r="P543" i="1" s="1"/>
  <c r="Q543" i="1" s="1"/>
  <c r="O544" i="1"/>
  <c r="P544" i="1" s="1"/>
  <c r="Q544" i="1" s="1"/>
  <c r="O545" i="1"/>
  <c r="P545" i="1" s="1"/>
  <c r="Q545" i="1" s="1"/>
  <c r="O546" i="1"/>
  <c r="P546" i="1" s="1"/>
  <c r="Q546" i="1" s="1"/>
  <c r="O547" i="1"/>
  <c r="P547" i="1" s="1"/>
  <c r="Q547" i="1" s="1"/>
  <c r="O548" i="1"/>
  <c r="P548" i="1" s="1"/>
  <c r="Q548" i="1" s="1"/>
  <c r="O549" i="1"/>
  <c r="P549" i="1" s="1"/>
  <c r="Q549" i="1" s="1"/>
  <c r="O550" i="1"/>
  <c r="P550" i="1" s="1"/>
  <c r="Q550" i="1" s="1"/>
  <c r="O551" i="1"/>
  <c r="P551" i="1" s="1"/>
  <c r="Q551" i="1" s="1"/>
  <c r="O552" i="1"/>
  <c r="P552" i="1" s="1"/>
  <c r="Q552" i="1" s="1"/>
  <c r="O553" i="1"/>
  <c r="P553" i="1" s="1"/>
  <c r="Q553" i="1" s="1"/>
  <c r="O554" i="1"/>
  <c r="P554" i="1" s="1"/>
  <c r="Q554" i="1" s="1"/>
  <c r="O555" i="1"/>
  <c r="P555" i="1" s="1"/>
  <c r="Q555" i="1" s="1"/>
  <c r="O556" i="1"/>
  <c r="P556" i="1" s="1"/>
  <c r="Q556" i="1" s="1"/>
  <c r="O557" i="1"/>
  <c r="P557" i="1" s="1"/>
  <c r="Q557" i="1" s="1"/>
  <c r="O558" i="1"/>
  <c r="P558" i="1" s="1"/>
  <c r="Q558" i="1" s="1"/>
  <c r="O559" i="1"/>
  <c r="P559" i="1" s="1"/>
  <c r="Q559" i="1" s="1"/>
  <c r="O560" i="1"/>
  <c r="P560" i="1" s="1"/>
  <c r="Q560" i="1" s="1"/>
  <c r="O561" i="1"/>
  <c r="P561" i="1" s="1"/>
  <c r="Q561" i="1" s="1"/>
  <c r="O562" i="1"/>
  <c r="P562" i="1" s="1"/>
  <c r="Q562" i="1" s="1"/>
  <c r="O563" i="1"/>
  <c r="P563" i="1" s="1"/>
  <c r="Q563" i="1" s="1"/>
  <c r="O564" i="1"/>
  <c r="P564" i="1" s="1"/>
  <c r="Q564" i="1" s="1"/>
  <c r="O565" i="1"/>
  <c r="P565" i="1" s="1"/>
  <c r="Q565" i="1" s="1"/>
  <c r="O566" i="1"/>
  <c r="P566" i="1" s="1"/>
  <c r="Q566" i="1" s="1"/>
  <c r="O567" i="1"/>
  <c r="P567" i="1" s="1"/>
  <c r="Q567" i="1" s="1"/>
  <c r="O568" i="1"/>
  <c r="P568" i="1" s="1"/>
  <c r="Q568" i="1" s="1"/>
  <c r="O569" i="1"/>
  <c r="P569" i="1" s="1"/>
  <c r="Q569" i="1" s="1"/>
  <c r="O570" i="1"/>
  <c r="P570" i="1" s="1"/>
  <c r="Q570" i="1" s="1"/>
  <c r="O571" i="1"/>
  <c r="P571" i="1" s="1"/>
  <c r="Q571" i="1" s="1"/>
  <c r="O572" i="1"/>
  <c r="P572" i="1" s="1"/>
  <c r="Q572" i="1" s="1"/>
  <c r="O573" i="1"/>
  <c r="P573" i="1" s="1"/>
  <c r="Q573" i="1" s="1"/>
  <c r="O574" i="1"/>
  <c r="P574" i="1" s="1"/>
  <c r="Q574" i="1" s="1"/>
  <c r="O575" i="1"/>
  <c r="P575" i="1" s="1"/>
  <c r="Q575" i="1" s="1"/>
  <c r="O576" i="1"/>
  <c r="P576" i="1" s="1"/>
  <c r="Q576" i="1" s="1"/>
  <c r="O577" i="1"/>
  <c r="P577" i="1" s="1"/>
  <c r="Q577" i="1" s="1"/>
  <c r="O578" i="1"/>
  <c r="P578" i="1" s="1"/>
  <c r="Q578" i="1" s="1"/>
  <c r="O579" i="1"/>
  <c r="P579" i="1" s="1"/>
  <c r="Q579" i="1" s="1"/>
  <c r="O580" i="1"/>
  <c r="P580" i="1" s="1"/>
  <c r="Q580" i="1" s="1"/>
  <c r="O581" i="1"/>
  <c r="P581" i="1" s="1"/>
  <c r="Q581" i="1" s="1"/>
  <c r="O582" i="1"/>
  <c r="P582" i="1" s="1"/>
  <c r="Q582" i="1" s="1"/>
  <c r="O583" i="1"/>
  <c r="P583" i="1" s="1"/>
  <c r="Q583" i="1" s="1"/>
  <c r="O584" i="1"/>
  <c r="P584" i="1" s="1"/>
  <c r="Q584" i="1" s="1"/>
  <c r="O585" i="1"/>
  <c r="P585" i="1" s="1"/>
  <c r="Q585" i="1" s="1"/>
  <c r="O586" i="1"/>
  <c r="P586" i="1" s="1"/>
  <c r="Q586" i="1" s="1"/>
  <c r="O587" i="1"/>
  <c r="P587" i="1" s="1"/>
  <c r="Q587" i="1" s="1"/>
  <c r="O588" i="1"/>
  <c r="P588" i="1" s="1"/>
  <c r="Q588" i="1" s="1"/>
  <c r="O589" i="1"/>
  <c r="P589" i="1" s="1"/>
  <c r="Q589" i="1" s="1"/>
  <c r="O590" i="1"/>
  <c r="P590" i="1" s="1"/>
  <c r="Q590" i="1" s="1"/>
  <c r="O591" i="1"/>
  <c r="P591" i="1" s="1"/>
  <c r="Q591" i="1" s="1"/>
  <c r="O592" i="1"/>
  <c r="P592" i="1" s="1"/>
  <c r="Q592" i="1" s="1"/>
  <c r="O593" i="1"/>
  <c r="P593" i="1" s="1"/>
  <c r="Q593" i="1" s="1"/>
  <c r="O594" i="1"/>
  <c r="P594" i="1" s="1"/>
  <c r="Q594" i="1" s="1"/>
  <c r="O595" i="1"/>
  <c r="P595" i="1" s="1"/>
  <c r="Q595" i="1" s="1"/>
  <c r="O596" i="1"/>
  <c r="P596" i="1" s="1"/>
  <c r="Q596" i="1" s="1"/>
  <c r="O597" i="1"/>
  <c r="P597" i="1" s="1"/>
  <c r="Q597" i="1" s="1"/>
  <c r="O598" i="1"/>
  <c r="P598" i="1" s="1"/>
  <c r="Q598" i="1" s="1"/>
  <c r="O599" i="1"/>
  <c r="P599" i="1" s="1"/>
  <c r="Q599" i="1" s="1"/>
  <c r="O600" i="1"/>
  <c r="P600" i="1" s="1"/>
  <c r="Q600" i="1" s="1"/>
  <c r="O601" i="1"/>
  <c r="P601" i="1" s="1"/>
  <c r="Q601" i="1" s="1"/>
  <c r="O602" i="1"/>
  <c r="P602" i="1" s="1"/>
  <c r="Q602" i="1" s="1"/>
  <c r="O603" i="1"/>
  <c r="P603" i="1" s="1"/>
  <c r="Q603" i="1" s="1"/>
  <c r="O604" i="1"/>
  <c r="P604" i="1" s="1"/>
  <c r="Q604" i="1" s="1"/>
  <c r="O605" i="1"/>
  <c r="P605" i="1" s="1"/>
  <c r="Q605" i="1" s="1"/>
  <c r="O606" i="1"/>
  <c r="P606" i="1" s="1"/>
  <c r="Q606" i="1" s="1"/>
  <c r="O607" i="1"/>
  <c r="P607" i="1" s="1"/>
  <c r="Q607" i="1" s="1"/>
  <c r="O608" i="1"/>
  <c r="P608" i="1" s="1"/>
  <c r="Q608" i="1" s="1"/>
  <c r="O609" i="1"/>
  <c r="P609" i="1" s="1"/>
  <c r="Q609" i="1" s="1"/>
  <c r="O610" i="1"/>
  <c r="P610" i="1" s="1"/>
  <c r="Q610" i="1" s="1"/>
  <c r="O611" i="1"/>
  <c r="P611" i="1" s="1"/>
  <c r="Q611" i="1" s="1"/>
  <c r="O612" i="1"/>
  <c r="P612" i="1" s="1"/>
  <c r="Q612" i="1" s="1"/>
  <c r="O613" i="1"/>
  <c r="P613" i="1" s="1"/>
  <c r="Q613" i="1" s="1"/>
  <c r="O614" i="1"/>
  <c r="P614" i="1" s="1"/>
  <c r="Q614" i="1" s="1"/>
  <c r="O615" i="1"/>
  <c r="P615" i="1" s="1"/>
  <c r="Q615" i="1" s="1"/>
  <c r="O616" i="1"/>
  <c r="P616" i="1" s="1"/>
  <c r="Q616" i="1" s="1"/>
  <c r="O617" i="1"/>
  <c r="P617" i="1" s="1"/>
  <c r="Q617" i="1" s="1"/>
  <c r="O618" i="1"/>
  <c r="P618" i="1" s="1"/>
  <c r="Q618" i="1" s="1"/>
  <c r="O619" i="1"/>
  <c r="P619" i="1" s="1"/>
  <c r="Q619" i="1" s="1"/>
  <c r="O620" i="1"/>
  <c r="P620" i="1" s="1"/>
  <c r="Q620" i="1" s="1"/>
  <c r="O621" i="1"/>
  <c r="P621" i="1" s="1"/>
  <c r="Q621" i="1" s="1"/>
  <c r="O622" i="1"/>
  <c r="P622" i="1" s="1"/>
  <c r="Q622" i="1" s="1"/>
  <c r="O623" i="1"/>
  <c r="P623" i="1" s="1"/>
  <c r="Q623" i="1" s="1"/>
  <c r="O624" i="1"/>
  <c r="P624" i="1" s="1"/>
  <c r="Q624" i="1" s="1"/>
  <c r="O625" i="1"/>
  <c r="P625" i="1" s="1"/>
  <c r="Q625" i="1" s="1"/>
  <c r="O626" i="1"/>
  <c r="P626" i="1" s="1"/>
  <c r="Q626" i="1" s="1"/>
  <c r="O627" i="1"/>
  <c r="P627" i="1" s="1"/>
  <c r="Q627" i="1" s="1"/>
  <c r="O628" i="1"/>
  <c r="P628" i="1" s="1"/>
  <c r="Q628" i="1" s="1"/>
  <c r="O629" i="1"/>
  <c r="P629" i="1" s="1"/>
  <c r="Q629" i="1" s="1"/>
  <c r="O630" i="1"/>
  <c r="P630" i="1" s="1"/>
  <c r="Q630" i="1" s="1"/>
  <c r="O631" i="1"/>
  <c r="P631" i="1" s="1"/>
  <c r="Q631" i="1" s="1"/>
  <c r="O632" i="1"/>
  <c r="P632" i="1" s="1"/>
  <c r="Q632" i="1" s="1"/>
  <c r="O633" i="1"/>
  <c r="P633" i="1" s="1"/>
  <c r="Q633" i="1" s="1"/>
  <c r="O634" i="1"/>
  <c r="P634" i="1" s="1"/>
  <c r="Q634" i="1" s="1"/>
  <c r="O635" i="1"/>
  <c r="P635" i="1" s="1"/>
  <c r="Q635" i="1" s="1"/>
  <c r="O636" i="1"/>
  <c r="P636" i="1" s="1"/>
  <c r="Q636" i="1" s="1"/>
  <c r="O637" i="1"/>
  <c r="P637" i="1" s="1"/>
  <c r="Q637" i="1" s="1"/>
  <c r="O638" i="1"/>
  <c r="P638" i="1" s="1"/>
  <c r="Q638" i="1" s="1"/>
  <c r="O639" i="1"/>
  <c r="P639" i="1" s="1"/>
  <c r="Q639" i="1" s="1"/>
  <c r="O640" i="1"/>
  <c r="P640" i="1" s="1"/>
  <c r="Q640" i="1" s="1"/>
  <c r="O641" i="1"/>
  <c r="P641" i="1" s="1"/>
  <c r="Q641" i="1" s="1"/>
  <c r="O642" i="1"/>
  <c r="P642" i="1" s="1"/>
  <c r="Q642" i="1" s="1"/>
  <c r="O643" i="1"/>
  <c r="P643" i="1" s="1"/>
  <c r="Q643" i="1" s="1"/>
  <c r="O644" i="1"/>
  <c r="P644" i="1" s="1"/>
  <c r="Q644" i="1" s="1"/>
  <c r="O645" i="1"/>
  <c r="P645" i="1" s="1"/>
  <c r="Q645" i="1" s="1"/>
  <c r="O646" i="1"/>
  <c r="P646" i="1" s="1"/>
  <c r="Q646" i="1" s="1"/>
  <c r="O647" i="1"/>
  <c r="P647" i="1" s="1"/>
  <c r="Q647" i="1" s="1"/>
  <c r="O648" i="1"/>
  <c r="P648" i="1" s="1"/>
  <c r="Q648" i="1" s="1"/>
  <c r="O649" i="1"/>
  <c r="P649" i="1" s="1"/>
  <c r="Q649" i="1" s="1"/>
  <c r="O650" i="1"/>
  <c r="P650" i="1" s="1"/>
  <c r="Q650" i="1" s="1"/>
  <c r="O651" i="1"/>
  <c r="P651" i="1" s="1"/>
  <c r="Q651" i="1" s="1"/>
  <c r="O652" i="1"/>
  <c r="P652" i="1" s="1"/>
  <c r="Q652" i="1" s="1"/>
  <c r="O653" i="1"/>
  <c r="P653" i="1" s="1"/>
  <c r="Q653" i="1" s="1"/>
  <c r="O654" i="1"/>
  <c r="P654" i="1" s="1"/>
  <c r="Q654" i="1" s="1"/>
  <c r="O655" i="1"/>
  <c r="P655" i="1" s="1"/>
  <c r="Q655" i="1" s="1"/>
  <c r="O656" i="1"/>
  <c r="P656" i="1" s="1"/>
  <c r="Q656" i="1" s="1"/>
  <c r="O657" i="1"/>
  <c r="P657" i="1" s="1"/>
  <c r="Q657" i="1" s="1"/>
  <c r="O658" i="1"/>
  <c r="P658" i="1" s="1"/>
  <c r="Q658" i="1" s="1"/>
  <c r="O659" i="1"/>
  <c r="P659" i="1" s="1"/>
  <c r="Q659" i="1" s="1"/>
  <c r="O660" i="1"/>
  <c r="P660" i="1" s="1"/>
  <c r="Q660" i="1" s="1"/>
  <c r="O661" i="1"/>
  <c r="P661" i="1" s="1"/>
  <c r="Q661" i="1" s="1"/>
  <c r="O662" i="1"/>
  <c r="P662" i="1" s="1"/>
  <c r="Q662" i="1" s="1"/>
  <c r="O663" i="1"/>
  <c r="P663" i="1" s="1"/>
  <c r="Q663" i="1" s="1"/>
  <c r="O664" i="1"/>
  <c r="P664" i="1" s="1"/>
  <c r="Q664" i="1" s="1"/>
  <c r="O665" i="1"/>
  <c r="P665" i="1" s="1"/>
  <c r="Q665" i="1" s="1"/>
  <c r="O666" i="1"/>
  <c r="P666" i="1" s="1"/>
  <c r="Q666" i="1" s="1"/>
  <c r="O667" i="1"/>
  <c r="P667" i="1" s="1"/>
  <c r="Q667" i="1" s="1"/>
  <c r="O668" i="1"/>
  <c r="P668" i="1" s="1"/>
  <c r="Q668" i="1" s="1"/>
  <c r="O669" i="1"/>
  <c r="P669" i="1" s="1"/>
  <c r="Q669" i="1" s="1"/>
  <c r="O670" i="1"/>
  <c r="P670" i="1" s="1"/>
  <c r="Q670" i="1" s="1"/>
  <c r="O671" i="1"/>
  <c r="P671" i="1" s="1"/>
  <c r="Q671" i="1" s="1"/>
  <c r="O672" i="1"/>
  <c r="P672" i="1" s="1"/>
  <c r="Q672" i="1" s="1"/>
  <c r="O673" i="1"/>
  <c r="P673" i="1" s="1"/>
  <c r="Q673" i="1" s="1"/>
  <c r="O674" i="1"/>
  <c r="P674" i="1" s="1"/>
  <c r="Q674" i="1" s="1"/>
  <c r="O675" i="1"/>
  <c r="P675" i="1" s="1"/>
  <c r="Q675" i="1" s="1"/>
  <c r="O676" i="1"/>
  <c r="P676" i="1" s="1"/>
  <c r="Q676" i="1" s="1"/>
  <c r="O677" i="1"/>
  <c r="P677" i="1" s="1"/>
  <c r="Q677" i="1" s="1"/>
  <c r="O678" i="1"/>
  <c r="P678" i="1" s="1"/>
  <c r="Q678" i="1" s="1"/>
  <c r="O679" i="1"/>
  <c r="P679" i="1" s="1"/>
  <c r="Q679" i="1" s="1"/>
  <c r="O680" i="1"/>
  <c r="P680" i="1" s="1"/>
  <c r="Q680" i="1" s="1"/>
  <c r="O681" i="1"/>
  <c r="P681" i="1" s="1"/>
  <c r="Q681" i="1" s="1"/>
  <c r="O682" i="1"/>
  <c r="P682" i="1" s="1"/>
  <c r="Q682" i="1" s="1"/>
  <c r="O683" i="1"/>
  <c r="P683" i="1" s="1"/>
  <c r="Q683" i="1" s="1"/>
  <c r="O684" i="1"/>
  <c r="P684" i="1" s="1"/>
  <c r="Q684" i="1" s="1"/>
  <c r="O685" i="1"/>
  <c r="P685" i="1" s="1"/>
  <c r="Q685" i="1" s="1"/>
  <c r="O686" i="1"/>
  <c r="P686" i="1" s="1"/>
  <c r="Q686" i="1" s="1"/>
  <c r="O687" i="1"/>
  <c r="P687" i="1" s="1"/>
  <c r="Q687" i="1" s="1"/>
  <c r="O688" i="1"/>
  <c r="P688" i="1" s="1"/>
  <c r="Q688" i="1" s="1"/>
  <c r="O689" i="1"/>
  <c r="P689" i="1" s="1"/>
  <c r="Q689" i="1" s="1"/>
  <c r="O690" i="1"/>
  <c r="P690" i="1" s="1"/>
  <c r="Q690" i="1" s="1"/>
  <c r="O691" i="1"/>
  <c r="P691" i="1" s="1"/>
  <c r="Q691" i="1" s="1"/>
  <c r="O692" i="1"/>
  <c r="P692" i="1" s="1"/>
  <c r="Q692" i="1" s="1"/>
  <c r="O693" i="1"/>
  <c r="P693" i="1" s="1"/>
  <c r="Q693" i="1" s="1"/>
  <c r="O694" i="1"/>
  <c r="P694" i="1" s="1"/>
  <c r="Q694" i="1" s="1"/>
  <c r="O695" i="1"/>
  <c r="P695" i="1" s="1"/>
  <c r="Q695" i="1" s="1"/>
  <c r="O696" i="1"/>
  <c r="P696" i="1" s="1"/>
  <c r="Q696" i="1" s="1"/>
  <c r="O697" i="1"/>
  <c r="P697" i="1" s="1"/>
  <c r="Q697" i="1" s="1"/>
  <c r="O698" i="1"/>
  <c r="P698" i="1" s="1"/>
  <c r="Q698" i="1" s="1"/>
  <c r="O699" i="1"/>
  <c r="P699" i="1" s="1"/>
  <c r="Q699" i="1" s="1"/>
  <c r="O700" i="1"/>
  <c r="P700" i="1" s="1"/>
  <c r="Q700" i="1" s="1"/>
  <c r="O701" i="1"/>
  <c r="P701" i="1" s="1"/>
  <c r="Q701" i="1" s="1"/>
  <c r="O702" i="1"/>
  <c r="P702" i="1" s="1"/>
  <c r="Q702" i="1" s="1"/>
  <c r="O703" i="1"/>
  <c r="P703" i="1" s="1"/>
  <c r="Q703" i="1" s="1"/>
  <c r="O704" i="1"/>
  <c r="P704" i="1" s="1"/>
  <c r="Q704" i="1" s="1"/>
  <c r="O705" i="1"/>
  <c r="P705" i="1" s="1"/>
  <c r="Q705" i="1" s="1"/>
  <c r="O706" i="1"/>
  <c r="P706" i="1" s="1"/>
  <c r="Q706" i="1" s="1"/>
  <c r="O707" i="1"/>
  <c r="P707" i="1" s="1"/>
  <c r="Q707" i="1" s="1"/>
  <c r="O708" i="1"/>
  <c r="P708" i="1" s="1"/>
  <c r="Q708" i="1" s="1"/>
  <c r="O709" i="1"/>
  <c r="P709" i="1" s="1"/>
  <c r="Q709" i="1" s="1"/>
  <c r="O710" i="1"/>
  <c r="P710" i="1" s="1"/>
  <c r="Q710" i="1" s="1"/>
  <c r="O711" i="1"/>
  <c r="P711" i="1" s="1"/>
  <c r="Q711" i="1" s="1"/>
  <c r="O712" i="1"/>
  <c r="P712" i="1" s="1"/>
  <c r="Q712" i="1" s="1"/>
  <c r="O713" i="1"/>
  <c r="P713" i="1" s="1"/>
  <c r="Q713" i="1" s="1"/>
  <c r="O714" i="1"/>
  <c r="P714" i="1" s="1"/>
  <c r="Q714" i="1" s="1"/>
  <c r="O715" i="1"/>
  <c r="P715" i="1" s="1"/>
  <c r="Q715" i="1" s="1"/>
  <c r="O716" i="1"/>
  <c r="P716" i="1" s="1"/>
  <c r="Q716" i="1" s="1"/>
  <c r="O717" i="1"/>
  <c r="P717" i="1" s="1"/>
  <c r="Q717" i="1" s="1"/>
  <c r="O718" i="1"/>
  <c r="P718" i="1" s="1"/>
  <c r="Q718" i="1" s="1"/>
  <c r="O719" i="1"/>
  <c r="P719" i="1" s="1"/>
  <c r="Q719" i="1" s="1"/>
  <c r="O720" i="1"/>
  <c r="P720" i="1" s="1"/>
  <c r="Q720" i="1" s="1"/>
  <c r="O721" i="1"/>
  <c r="P721" i="1" s="1"/>
  <c r="Q721" i="1" s="1"/>
  <c r="O722" i="1"/>
  <c r="P722" i="1" s="1"/>
  <c r="Q722" i="1" s="1"/>
  <c r="O723" i="1"/>
  <c r="P723" i="1" s="1"/>
  <c r="Q723" i="1" s="1"/>
  <c r="O724" i="1"/>
  <c r="P724" i="1" s="1"/>
  <c r="Q724" i="1" s="1"/>
  <c r="O725" i="1"/>
  <c r="P725" i="1" s="1"/>
  <c r="Q725" i="1" s="1"/>
  <c r="O726" i="1"/>
  <c r="P726" i="1" s="1"/>
  <c r="Q726" i="1" s="1"/>
  <c r="O727" i="1"/>
  <c r="P727" i="1" s="1"/>
  <c r="Q727" i="1" s="1"/>
  <c r="O728" i="1"/>
  <c r="P728" i="1" s="1"/>
  <c r="Q728" i="1" s="1"/>
  <c r="O729" i="1"/>
  <c r="P729" i="1" s="1"/>
  <c r="Q729" i="1" s="1"/>
  <c r="O730" i="1"/>
  <c r="P730" i="1" s="1"/>
  <c r="Q730" i="1" s="1"/>
  <c r="O731" i="1"/>
  <c r="P731" i="1" s="1"/>
  <c r="Q731" i="1" s="1"/>
  <c r="O732" i="1"/>
  <c r="P732" i="1" s="1"/>
  <c r="Q732" i="1" s="1"/>
  <c r="O733" i="1"/>
  <c r="P733" i="1" s="1"/>
  <c r="Q733" i="1" s="1"/>
  <c r="O734" i="1"/>
  <c r="P734" i="1" s="1"/>
  <c r="Q734" i="1" s="1"/>
  <c r="O735" i="1"/>
  <c r="P735" i="1" s="1"/>
  <c r="Q735" i="1" s="1"/>
  <c r="O736" i="1"/>
  <c r="P736" i="1" s="1"/>
  <c r="Q736" i="1" s="1"/>
  <c r="O737" i="1"/>
  <c r="P737" i="1" s="1"/>
  <c r="Q737" i="1" s="1"/>
  <c r="O738" i="1"/>
  <c r="P738" i="1" s="1"/>
  <c r="Q738" i="1" s="1"/>
  <c r="O739" i="1"/>
  <c r="P739" i="1" s="1"/>
  <c r="Q739" i="1" s="1"/>
  <c r="O740" i="1"/>
  <c r="P740" i="1" s="1"/>
  <c r="Q740" i="1" s="1"/>
  <c r="O741" i="1"/>
  <c r="P741" i="1" s="1"/>
  <c r="Q741" i="1" s="1"/>
  <c r="O742" i="1"/>
  <c r="P742" i="1" s="1"/>
  <c r="Q742" i="1" s="1"/>
  <c r="O743" i="1"/>
  <c r="P743" i="1" s="1"/>
  <c r="Q743" i="1" s="1"/>
  <c r="O744" i="1"/>
  <c r="P744" i="1" s="1"/>
  <c r="Q744" i="1" s="1"/>
  <c r="O745" i="1"/>
  <c r="P745" i="1" s="1"/>
  <c r="Q745" i="1" s="1"/>
  <c r="O746" i="1"/>
  <c r="P746" i="1" s="1"/>
  <c r="Q746" i="1" s="1"/>
  <c r="O747" i="1"/>
  <c r="P747" i="1" s="1"/>
  <c r="Q747" i="1" s="1"/>
  <c r="O748" i="1"/>
  <c r="P748" i="1" s="1"/>
  <c r="Q748" i="1" s="1"/>
  <c r="O749" i="1"/>
  <c r="P749" i="1" s="1"/>
  <c r="Q749" i="1" s="1"/>
  <c r="O750" i="1"/>
  <c r="P750" i="1" s="1"/>
  <c r="Q750" i="1" s="1"/>
  <c r="O751" i="1"/>
  <c r="P751" i="1" s="1"/>
  <c r="Q751" i="1" s="1"/>
  <c r="O752" i="1"/>
  <c r="P752" i="1" s="1"/>
  <c r="Q752" i="1" s="1"/>
  <c r="O753" i="1"/>
  <c r="P753" i="1" s="1"/>
  <c r="Q753" i="1" s="1"/>
  <c r="O754" i="1"/>
  <c r="P754" i="1" s="1"/>
  <c r="Q754" i="1" s="1"/>
  <c r="O755" i="1"/>
  <c r="P755" i="1" s="1"/>
  <c r="Q755" i="1" s="1"/>
  <c r="O756" i="1"/>
  <c r="P756" i="1" s="1"/>
  <c r="Q756" i="1" s="1"/>
  <c r="O757" i="1"/>
  <c r="P757" i="1" s="1"/>
  <c r="Q757" i="1" s="1"/>
  <c r="O758" i="1"/>
  <c r="P758" i="1" s="1"/>
  <c r="Q758" i="1" s="1"/>
  <c r="O759" i="1"/>
  <c r="P759" i="1" s="1"/>
  <c r="Q759" i="1" s="1"/>
  <c r="O760" i="1"/>
  <c r="P760" i="1" s="1"/>
  <c r="Q760" i="1" s="1"/>
  <c r="O761" i="1"/>
  <c r="P761" i="1" s="1"/>
  <c r="Q761" i="1" s="1"/>
  <c r="O762" i="1"/>
  <c r="P762" i="1" s="1"/>
  <c r="Q762" i="1" s="1"/>
  <c r="O763" i="1"/>
  <c r="P763" i="1" s="1"/>
  <c r="Q763" i="1" s="1"/>
  <c r="O764" i="1"/>
  <c r="P764" i="1" s="1"/>
  <c r="Q764" i="1" s="1"/>
  <c r="O765" i="1"/>
  <c r="P765" i="1" s="1"/>
  <c r="Q765" i="1" s="1"/>
  <c r="O766" i="1"/>
  <c r="P766" i="1" s="1"/>
  <c r="Q766" i="1" s="1"/>
  <c r="O767" i="1"/>
  <c r="P767" i="1" s="1"/>
  <c r="Q767" i="1" s="1"/>
  <c r="O768" i="1"/>
  <c r="P768" i="1" s="1"/>
  <c r="Q768" i="1" s="1"/>
  <c r="O769" i="1"/>
  <c r="P769" i="1" s="1"/>
  <c r="Q769" i="1" s="1"/>
  <c r="O770" i="1"/>
  <c r="P770" i="1" s="1"/>
  <c r="Q770" i="1" s="1"/>
  <c r="O771" i="1"/>
  <c r="P771" i="1" s="1"/>
  <c r="Q771" i="1" s="1"/>
  <c r="O772" i="1"/>
  <c r="P772" i="1" s="1"/>
  <c r="Q772" i="1" s="1"/>
  <c r="O773" i="1"/>
  <c r="P773" i="1" s="1"/>
  <c r="Q773" i="1" s="1"/>
  <c r="O774" i="1"/>
  <c r="P774" i="1" s="1"/>
  <c r="Q774" i="1" s="1"/>
  <c r="O775" i="1"/>
  <c r="P775" i="1" s="1"/>
  <c r="Q775" i="1" s="1"/>
  <c r="O776" i="1"/>
  <c r="P776" i="1" s="1"/>
  <c r="Q776" i="1" s="1"/>
  <c r="O777" i="1"/>
  <c r="P777" i="1" s="1"/>
  <c r="Q777" i="1" s="1"/>
  <c r="O778" i="1"/>
  <c r="P778" i="1" s="1"/>
  <c r="Q778" i="1" s="1"/>
  <c r="O779" i="1"/>
  <c r="P779" i="1" s="1"/>
  <c r="Q779" i="1" s="1"/>
  <c r="O780" i="1"/>
  <c r="P780" i="1" s="1"/>
  <c r="Q780" i="1" s="1"/>
  <c r="O781" i="1"/>
  <c r="P781" i="1" s="1"/>
  <c r="Q781" i="1" s="1"/>
  <c r="O782" i="1"/>
  <c r="P782" i="1" s="1"/>
  <c r="Q782" i="1" s="1"/>
  <c r="O783" i="1"/>
  <c r="P783" i="1" s="1"/>
  <c r="Q783" i="1" s="1"/>
  <c r="O784" i="1"/>
  <c r="P784" i="1" s="1"/>
  <c r="Q784" i="1" s="1"/>
  <c r="O785" i="1"/>
  <c r="P785" i="1" s="1"/>
  <c r="Q785" i="1" s="1"/>
  <c r="O786" i="1"/>
  <c r="P786" i="1" s="1"/>
  <c r="Q786" i="1" s="1"/>
  <c r="O787" i="1"/>
  <c r="P787" i="1" s="1"/>
  <c r="Q787" i="1" s="1"/>
  <c r="O788" i="1"/>
  <c r="P788" i="1" s="1"/>
  <c r="Q788" i="1" s="1"/>
  <c r="O789" i="1"/>
  <c r="P789" i="1" s="1"/>
  <c r="Q789" i="1" s="1"/>
  <c r="O790" i="1"/>
  <c r="P790" i="1" s="1"/>
  <c r="Q790" i="1" s="1"/>
  <c r="O791" i="1"/>
  <c r="P791" i="1" s="1"/>
  <c r="Q791" i="1" s="1"/>
  <c r="O792" i="1"/>
  <c r="P792" i="1" s="1"/>
  <c r="Q792" i="1" s="1"/>
  <c r="O793" i="1"/>
  <c r="P793" i="1" s="1"/>
  <c r="Q793" i="1" s="1"/>
  <c r="O794" i="1"/>
  <c r="P794" i="1" s="1"/>
  <c r="Q794" i="1" s="1"/>
  <c r="O795" i="1"/>
  <c r="P795" i="1" s="1"/>
  <c r="Q795" i="1" s="1"/>
  <c r="O796" i="1"/>
  <c r="P796" i="1" s="1"/>
  <c r="Q796" i="1" s="1"/>
  <c r="O797" i="1"/>
  <c r="P797" i="1" s="1"/>
  <c r="Q797" i="1" s="1"/>
  <c r="O798" i="1"/>
  <c r="P798" i="1" s="1"/>
  <c r="Q798" i="1" s="1"/>
  <c r="O799" i="1"/>
  <c r="P799" i="1" s="1"/>
  <c r="Q799" i="1" s="1"/>
  <c r="O800" i="1"/>
  <c r="P800" i="1" s="1"/>
  <c r="Q800" i="1" s="1"/>
  <c r="O801" i="1"/>
  <c r="P801" i="1" s="1"/>
  <c r="Q801" i="1" s="1"/>
  <c r="O802" i="1"/>
  <c r="P802" i="1" s="1"/>
  <c r="Q802" i="1" s="1"/>
  <c r="O803" i="1"/>
  <c r="P803" i="1" s="1"/>
  <c r="Q803" i="1" s="1"/>
  <c r="O804" i="1"/>
  <c r="P804" i="1" s="1"/>
  <c r="Q804" i="1" s="1"/>
  <c r="O805" i="1"/>
  <c r="P805" i="1" s="1"/>
  <c r="Q805" i="1" s="1"/>
  <c r="O806" i="1"/>
  <c r="P806" i="1" s="1"/>
  <c r="Q806" i="1" s="1"/>
  <c r="O807" i="1"/>
  <c r="P807" i="1" s="1"/>
  <c r="Q807" i="1" s="1"/>
  <c r="O808" i="1"/>
  <c r="P808" i="1" s="1"/>
  <c r="Q808" i="1" s="1"/>
  <c r="O809" i="1"/>
  <c r="P809" i="1" s="1"/>
  <c r="Q809" i="1" s="1"/>
  <c r="O810" i="1"/>
  <c r="P810" i="1" s="1"/>
  <c r="Q810" i="1" s="1"/>
  <c r="O811" i="1"/>
  <c r="P811" i="1" s="1"/>
  <c r="Q811" i="1" s="1"/>
  <c r="O812" i="1"/>
  <c r="P812" i="1" s="1"/>
  <c r="Q812" i="1" s="1"/>
  <c r="O813" i="1"/>
  <c r="P813" i="1" s="1"/>
  <c r="Q813" i="1" s="1"/>
  <c r="O814" i="1"/>
  <c r="P814" i="1" s="1"/>
  <c r="Q814" i="1" s="1"/>
  <c r="O815" i="1"/>
  <c r="P815" i="1" s="1"/>
  <c r="Q815" i="1" s="1"/>
  <c r="O816" i="1"/>
  <c r="P816" i="1" s="1"/>
  <c r="Q816" i="1" s="1"/>
  <c r="O817" i="1"/>
  <c r="P817" i="1" s="1"/>
  <c r="Q817" i="1" s="1"/>
  <c r="O818" i="1"/>
  <c r="P818" i="1" s="1"/>
  <c r="Q818" i="1" s="1"/>
  <c r="O819" i="1"/>
  <c r="P819" i="1" s="1"/>
  <c r="Q819" i="1" s="1"/>
  <c r="O820" i="1"/>
  <c r="P820" i="1" s="1"/>
  <c r="Q820" i="1" s="1"/>
  <c r="O821" i="1"/>
  <c r="P821" i="1" s="1"/>
  <c r="Q821" i="1" s="1"/>
  <c r="O822" i="1"/>
  <c r="P822" i="1" s="1"/>
  <c r="Q822" i="1" s="1"/>
  <c r="O823" i="1"/>
  <c r="P823" i="1" s="1"/>
  <c r="Q823" i="1" s="1"/>
  <c r="O824" i="1"/>
  <c r="P824" i="1" s="1"/>
  <c r="Q824" i="1" s="1"/>
  <c r="O825" i="1"/>
  <c r="P825" i="1" s="1"/>
  <c r="Q825" i="1" s="1"/>
  <c r="O826" i="1"/>
  <c r="P826" i="1" s="1"/>
  <c r="Q826" i="1" s="1"/>
  <c r="O827" i="1"/>
  <c r="P827" i="1" s="1"/>
  <c r="Q827" i="1" s="1"/>
  <c r="O828" i="1"/>
  <c r="P828" i="1" s="1"/>
  <c r="Q828" i="1" s="1"/>
  <c r="O829" i="1"/>
  <c r="P829" i="1" s="1"/>
  <c r="Q829" i="1" s="1"/>
  <c r="O830" i="1"/>
  <c r="P830" i="1" s="1"/>
  <c r="Q830" i="1" s="1"/>
  <c r="O831" i="1"/>
  <c r="P831" i="1" s="1"/>
  <c r="Q831" i="1" s="1"/>
  <c r="O832" i="1"/>
  <c r="P832" i="1" s="1"/>
  <c r="Q832" i="1" s="1"/>
  <c r="O833" i="1"/>
  <c r="P833" i="1" s="1"/>
  <c r="Q833" i="1" s="1"/>
  <c r="O834" i="1"/>
  <c r="P834" i="1" s="1"/>
  <c r="Q834" i="1" s="1"/>
  <c r="O835" i="1"/>
  <c r="P835" i="1" s="1"/>
  <c r="Q835" i="1" s="1"/>
  <c r="O836" i="1"/>
  <c r="P836" i="1" s="1"/>
  <c r="Q836" i="1" s="1"/>
  <c r="O837" i="1"/>
  <c r="P837" i="1" s="1"/>
  <c r="Q837" i="1" s="1"/>
  <c r="O838" i="1"/>
  <c r="P838" i="1" s="1"/>
  <c r="Q838" i="1" s="1"/>
  <c r="O839" i="1"/>
  <c r="P839" i="1" s="1"/>
  <c r="Q839" i="1" s="1"/>
  <c r="O840" i="1"/>
  <c r="P840" i="1" s="1"/>
  <c r="Q840" i="1" s="1"/>
  <c r="O841" i="1"/>
  <c r="P841" i="1" s="1"/>
  <c r="Q841" i="1" s="1"/>
  <c r="O842" i="1"/>
  <c r="P842" i="1" s="1"/>
  <c r="Q842" i="1" s="1"/>
  <c r="O843" i="1"/>
  <c r="P843" i="1" s="1"/>
  <c r="Q843" i="1" s="1"/>
  <c r="O844" i="1"/>
  <c r="P844" i="1" s="1"/>
  <c r="Q844" i="1" s="1"/>
  <c r="O845" i="1"/>
  <c r="P845" i="1" s="1"/>
  <c r="Q845" i="1" s="1"/>
  <c r="O846" i="1"/>
  <c r="P846" i="1" s="1"/>
  <c r="Q846" i="1" s="1"/>
  <c r="O847" i="1"/>
  <c r="P847" i="1" s="1"/>
  <c r="Q847" i="1" s="1"/>
  <c r="O848" i="1"/>
  <c r="P848" i="1" s="1"/>
  <c r="Q848" i="1" s="1"/>
  <c r="O849" i="1"/>
  <c r="P849" i="1" s="1"/>
  <c r="Q849" i="1" s="1"/>
  <c r="O850" i="1"/>
  <c r="P850" i="1" s="1"/>
  <c r="Q850" i="1" s="1"/>
  <c r="O851" i="1"/>
  <c r="P851" i="1" s="1"/>
  <c r="Q851" i="1" s="1"/>
  <c r="O852" i="1"/>
  <c r="P852" i="1" s="1"/>
  <c r="Q852" i="1" s="1"/>
  <c r="O853" i="1"/>
  <c r="P853" i="1" s="1"/>
  <c r="Q853" i="1" s="1"/>
  <c r="O854" i="1"/>
  <c r="P854" i="1" s="1"/>
  <c r="Q854" i="1" s="1"/>
  <c r="O855" i="1"/>
  <c r="P855" i="1" s="1"/>
  <c r="Q855" i="1" s="1"/>
  <c r="O856" i="1"/>
  <c r="P856" i="1" s="1"/>
  <c r="Q856" i="1" s="1"/>
  <c r="O857" i="1"/>
  <c r="P857" i="1" s="1"/>
  <c r="Q857" i="1" s="1"/>
  <c r="O858" i="1"/>
  <c r="P858" i="1" s="1"/>
  <c r="Q858" i="1" s="1"/>
  <c r="O859" i="1"/>
  <c r="P859" i="1" s="1"/>
  <c r="Q859" i="1" s="1"/>
  <c r="O860" i="1"/>
  <c r="P860" i="1" s="1"/>
  <c r="Q860" i="1" s="1"/>
  <c r="O861" i="1"/>
  <c r="P861" i="1" s="1"/>
  <c r="Q861" i="1" s="1"/>
  <c r="O862" i="1"/>
  <c r="P862" i="1" s="1"/>
  <c r="Q862" i="1" s="1"/>
  <c r="O863" i="1"/>
  <c r="P863" i="1" s="1"/>
  <c r="Q863" i="1" s="1"/>
  <c r="O864" i="1"/>
  <c r="P864" i="1" s="1"/>
  <c r="Q864" i="1" s="1"/>
  <c r="O865" i="1"/>
  <c r="P865" i="1" s="1"/>
  <c r="Q865" i="1" s="1"/>
  <c r="O866" i="1"/>
  <c r="P866" i="1" s="1"/>
  <c r="Q866" i="1" s="1"/>
  <c r="O867" i="1"/>
  <c r="P867" i="1" s="1"/>
  <c r="Q867" i="1" s="1"/>
  <c r="O868" i="1"/>
  <c r="P868" i="1" s="1"/>
  <c r="Q868" i="1" s="1"/>
  <c r="O869" i="1"/>
  <c r="P869" i="1" s="1"/>
  <c r="Q869" i="1" s="1"/>
  <c r="O870" i="1"/>
  <c r="P870" i="1" s="1"/>
  <c r="Q870" i="1" s="1"/>
  <c r="O871" i="1"/>
  <c r="P871" i="1" s="1"/>
  <c r="Q871" i="1" s="1"/>
  <c r="O872" i="1"/>
  <c r="P872" i="1" s="1"/>
  <c r="Q872" i="1" s="1"/>
  <c r="O873" i="1"/>
  <c r="P873" i="1" s="1"/>
  <c r="Q873" i="1" s="1"/>
  <c r="O874" i="1"/>
  <c r="P874" i="1" s="1"/>
  <c r="Q874" i="1" s="1"/>
  <c r="O875" i="1"/>
  <c r="P875" i="1" s="1"/>
  <c r="Q875" i="1" s="1"/>
  <c r="O876" i="1"/>
  <c r="P876" i="1" s="1"/>
  <c r="Q876" i="1" s="1"/>
  <c r="O877" i="1"/>
  <c r="P877" i="1" s="1"/>
  <c r="Q877" i="1" s="1"/>
  <c r="O878" i="1"/>
  <c r="P878" i="1" s="1"/>
  <c r="Q878" i="1" s="1"/>
  <c r="O879" i="1"/>
  <c r="P879" i="1" s="1"/>
  <c r="Q879" i="1" s="1"/>
  <c r="O880" i="1"/>
  <c r="P880" i="1" s="1"/>
  <c r="Q880" i="1" s="1"/>
  <c r="O881" i="1"/>
  <c r="P881" i="1" s="1"/>
  <c r="Q881" i="1" s="1"/>
  <c r="O882" i="1"/>
  <c r="P882" i="1" s="1"/>
  <c r="Q882" i="1" s="1"/>
  <c r="O883" i="1"/>
  <c r="P883" i="1" s="1"/>
  <c r="Q883" i="1" s="1"/>
  <c r="O884" i="1"/>
  <c r="P884" i="1" s="1"/>
  <c r="Q884" i="1" s="1"/>
  <c r="O885" i="1"/>
  <c r="P885" i="1" s="1"/>
  <c r="Q885" i="1" s="1"/>
  <c r="O886" i="1"/>
  <c r="P886" i="1" s="1"/>
  <c r="Q886" i="1" s="1"/>
  <c r="O887" i="1"/>
  <c r="P887" i="1" s="1"/>
  <c r="Q887" i="1" s="1"/>
  <c r="O888" i="1"/>
  <c r="P888" i="1" s="1"/>
  <c r="Q888" i="1" s="1"/>
  <c r="O889" i="1"/>
  <c r="P889" i="1" s="1"/>
  <c r="Q889" i="1" s="1"/>
  <c r="O890" i="1"/>
  <c r="P890" i="1" s="1"/>
  <c r="Q890" i="1" s="1"/>
  <c r="O891" i="1"/>
  <c r="P891" i="1" s="1"/>
  <c r="Q891" i="1" s="1"/>
  <c r="O892" i="1"/>
  <c r="P892" i="1" s="1"/>
  <c r="Q892" i="1" s="1"/>
  <c r="O893" i="1"/>
  <c r="P893" i="1" s="1"/>
  <c r="Q893" i="1" s="1"/>
  <c r="O894" i="1"/>
  <c r="P894" i="1" s="1"/>
  <c r="Q894" i="1" s="1"/>
  <c r="O895" i="1"/>
  <c r="P895" i="1" s="1"/>
  <c r="Q895" i="1" s="1"/>
  <c r="O896" i="1"/>
  <c r="P896" i="1" s="1"/>
  <c r="Q896" i="1" s="1"/>
  <c r="O897" i="1"/>
  <c r="P897" i="1" s="1"/>
  <c r="Q897" i="1" s="1"/>
  <c r="O898" i="1"/>
  <c r="P898" i="1" s="1"/>
  <c r="Q898" i="1" s="1"/>
  <c r="O899" i="1"/>
  <c r="P899" i="1" s="1"/>
  <c r="Q899" i="1" s="1"/>
  <c r="O900" i="1"/>
  <c r="P900" i="1" s="1"/>
  <c r="Q900" i="1" s="1"/>
  <c r="O901" i="1"/>
  <c r="P901" i="1" s="1"/>
  <c r="Q901" i="1" s="1"/>
  <c r="O902" i="1"/>
  <c r="P902" i="1" s="1"/>
  <c r="Q902" i="1" s="1"/>
  <c r="O903" i="1"/>
  <c r="P903" i="1" s="1"/>
  <c r="Q903" i="1" s="1"/>
  <c r="O904" i="1"/>
  <c r="P904" i="1" s="1"/>
  <c r="Q904" i="1" s="1"/>
  <c r="O905" i="1"/>
  <c r="P905" i="1" s="1"/>
  <c r="Q905" i="1" s="1"/>
  <c r="O906" i="1"/>
  <c r="P906" i="1" s="1"/>
  <c r="Q906" i="1" s="1"/>
  <c r="O907" i="1"/>
  <c r="P907" i="1" s="1"/>
  <c r="Q907" i="1" s="1"/>
  <c r="O908" i="1"/>
  <c r="P908" i="1" s="1"/>
  <c r="Q908" i="1" s="1"/>
  <c r="O909" i="1"/>
  <c r="P909" i="1" s="1"/>
  <c r="Q909" i="1" s="1"/>
  <c r="O910" i="1"/>
  <c r="P910" i="1" s="1"/>
  <c r="Q910" i="1" s="1"/>
  <c r="O911" i="1"/>
  <c r="P911" i="1" s="1"/>
  <c r="Q911" i="1" s="1"/>
  <c r="O912" i="1"/>
  <c r="P912" i="1" s="1"/>
  <c r="Q912" i="1" s="1"/>
  <c r="O913" i="1"/>
  <c r="P913" i="1" s="1"/>
  <c r="Q913" i="1" s="1"/>
  <c r="O914" i="1"/>
  <c r="P914" i="1" s="1"/>
  <c r="Q914" i="1" s="1"/>
  <c r="O915" i="1"/>
  <c r="P915" i="1" s="1"/>
  <c r="Q915" i="1" s="1"/>
  <c r="O916" i="1"/>
  <c r="P916" i="1" s="1"/>
  <c r="Q916" i="1" s="1"/>
  <c r="O917" i="1"/>
  <c r="P917" i="1" s="1"/>
  <c r="Q917" i="1" s="1"/>
  <c r="O918" i="1"/>
  <c r="P918" i="1" s="1"/>
  <c r="Q918" i="1" s="1"/>
  <c r="O919" i="1"/>
  <c r="P919" i="1" s="1"/>
  <c r="Q919" i="1" s="1"/>
  <c r="O920" i="1"/>
  <c r="P920" i="1" s="1"/>
  <c r="Q920" i="1" s="1"/>
  <c r="O921" i="1"/>
  <c r="P921" i="1" s="1"/>
  <c r="Q921" i="1" s="1"/>
  <c r="O922" i="1"/>
  <c r="P922" i="1" s="1"/>
  <c r="Q922" i="1" s="1"/>
  <c r="O923" i="1"/>
  <c r="P923" i="1" s="1"/>
  <c r="Q923" i="1" s="1"/>
  <c r="O924" i="1"/>
  <c r="P924" i="1" s="1"/>
  <c r="Q924" i="1" s="1"/>
  <c r="O925" i="1"/>
  <c r="P925" i="1" s="1"/>
  <c r="Q925" i="1" s="1"/>
  <c r="O926" i="1"/>
  <c r="P926" i="1" s="1"/>
  <c r="Q926" i="1" s="1"/>
  <c r="O927" i="1"/>
  <c r="P927" i="1" s="1"/>
  <c r="Q927" i="1" s="1"/>
  <c r="O928" i="1"/>
  <c r="P928" i="1" s="1"/>
  <c r="Q928" i="1" s="1"/>
  <c r="O929" i="1"/>
  <c r="P929" i="1" s="1"/>
  <c r="Q929" i="1" s="1"/>
  <c r="O930" i="1"/>
  <c r="P930" i="1" s="1"/>
  <c r="Q930" i="1" s="1"/>
  <c r="O931" i="1"/>
  <c r="P931" i="1" s="1"/>
  <c r="Q931" i="1" s="1"/>
  <c r="O932" i="1"/>
  <c r="P932" i="1" s="1"/>
  <c r="Q932" i="1" s="1"/>
  <c r="O933" i="1"/>
  <c r="P933" i="1" s="1"/>
  <c r="Q933" i="1" s="1"/>
  <c r="O934" i="1"/>
  <c r="P934" i="1" s="1"/>
  <c r="Q934" i="1" s="1"/>
  <c r="O935" i="1"/>
  <c r="P935" i="1" s="1"/>
  <c r="Q935" i="1" s="1"/>
  <c r="O936" i="1"/>
  <c r="P936" i="1" s="1"/>
  <c r="Q936" i="1" s="1"/>
  <c r="O937" i="1"/>
  <c r="P937" i="1" s="1"/>
  <c r="Q937" i="1" s="1"/>
  <c r="O938" i="1"/>
  <c r="P938" i="1" s="1"/>
  <c r="Q938" i="1" s="1"/>
  <c r="O939" i="1"/>
  <c r="P939" i="1" s="1"/>
  <c r="Q939" i="1" s="1"/>
  <c r="O940" i="1"/>
  <c r="P940" i="1" s="1"/>
  <c r="Q940" i="1" s="1"/>
  <c r="O941" i="1"/>
  <c r="P941" i="1" s="1"/>
  <c r="Q941" i="1" s="1"/>
  <c r="O942" i="1"/>
  <c r="P942" i="1" s="1"/>
  <c r="Q942" i="1" s="1"/>
  <c r="O943" i="1"/>
  <c r="P943" i="1" s="1"/>
  <c r="Q943" i="1" s="1"/>
  <c r="O944" i="1"/>
  <c r="P944" i="1" s="1"/>
  <c r="Q944" i="1" s="1"/>
  <c r="O945" i="1"/>
  <c r="P945" i="1" s="1"/>
  <c r="Q945" i="1" s="1"/>
  <c r="O946" i="1"/>
  <c r="P946" i="1" s="1"/>
  <c r="Q946" i="1" s="1"/>
  <c r="O947" i="1"/>
  <c r="P947" i="1" s="1"/>
  <c r="Q947" i="1" s="1"/>
  <c r="O948" i="1"/>
  <c r="P948" i="1" s="1"/>
  <c r="Q948" i="1" s="1"/>
  <c r="O949" i="1"/>
  <c r="P949" i="1" s="1"/>
  <c r="Q949" i="1" s="1"/>
  <c r="O950" i="1"/>
  <c r="P950" i="1" s="1"/>
  <c r="Q950" i="1" s="1"/>
  <c r="O951" i="1"/>
  <c r="P951" i="1" s="1"/>
  <c r="Q951" i="1" s="1"/>
  <c r="O952" i="1"/>
  <c r="P952" i="1" s="1"/>
  <c r="Q952" i="1" s="1"/>
  <c r="O953" i="1"/>
  <c r="P953" i="1" s="1"/>
  <c r="Q953" i="1" s="1"/>
  <c r="O954" i="1"/>
  <c r="P954" i="1" s="1"/>
  <c r="Q954" i="1" s="1"/>
  <c r="O955" i="1"/>
  <c r="P955" i="1" s="1"/>
  <c r="Q955" i="1" s="1"/>
  <c r="O956" i="1"/>
  <c r="P956" i="1" s="1"/>
  <c r="Q956" i="1" s="1"/>
  <c r="O957" i="1"/>
  <c r="P957" i="1" s="1"/>
  <c r="Q957" i="1" s="1"/>
  <c r="O958" i="1"/>
  <c r="P958" i="1" s="1"/>
  <c r="Q958" i="1" s="1"/>
  <c r="O959" i="1"/>
  <c r="P959" i="1" s="1"/>
  <c r="Q959" i="1" s="1"/>
  <c r="O960" i="1"/>
  <c r="P960" i="1" s="1"/>
  <c r="Q960" i="1" s="1"/>
  <c r="O961" i="1"/>
  <c r="P961" i="1" s="1"/>
  <c r="Q961" i="1" s="1"/>
  <c r="O962" i="1"/>
  <c r="P962" i="1" s="1"/>
  <c r="Q962" i="1" s="1"/>
  <c r="O963" i="1"/>
  <c r="P963" i="1" s="1"/>
  <c r="Q963" i="1" s="1"/>
  <c r="O964" i="1"/>
  <c r="P964" i="1" s="1"/>
  <c r="Q964" i="1" s="1"/>
  <c r="O965" i="1"/>
  <c r="P965" i="1" s="1"/>
  <c r="Q965" i="1" s="1"/>
  <c r="O966" i="1"/>
  <c r="P966" i="1" s="1"/>
  <c r="Q966" i="1" s="1"/>
  <c r="O967" i="1"/>
  <c r="P967" i="1" s="1"/>
  <c r="Q967" i="1" s="1"/>
  <c r="O968" i="1"/>
  <c r="P968" i="1" s="1"/>
  <c r="Q968" i="1" s="1"/>
  <c r="O969" i="1"/>
  <c r="P969" i="1" s="1"/>
  <c r="Q969" i="1" s="1"/>
  <c r="O970" i="1"/>
  <c r="P970" i="1" s="1"/>
  <c r="Q970" i="1" s="1"/>
  <c r="O971" i="1"/>
  <c r="P971" i="1" s="1"/>
  <c r="Q971" i="1" s="1"/>
  <c r="O972" i="1"/>
  <c r="P972" i="1" s="1"/>
  <c r="Q972" i="1" s="1"/>
  <c r="O973" i="1"/>
  <c r="P973" i="1" s="1"/>
  <c r="Q973" i="1" s="1"/>
  <c r="O974" i="1"/>
  <c r="P974" i="1" s="1"/>
  <c r="Q974" i="1" s="1"/>
  <c r="O975" i="1"/>
  <c r="P975" i="1" s="1"/>
  <c r="Q975" i="1" s="1"/>
  <c r="O976" i="1"/>
  <c r="P976" i="1" s="1"/>
  <c r="Q976" i="1" s="1"/>
  <c r="O977" i="1"/>
  <c r="P977" i="1" s="1"/>
  <c r="Q977" i="1" s="1"/>
  <c r="O978" i="1"/>
  <c r="P978" i="1" s="1"/>
  <c r="Q978" i="1" s="1"/>
  <c r="O979" i="1"/>
  <c r="P979" i="1" s="1"/>
  <c r="Q979" i="1" s="1"/>
  <c r="O980" i="1"/>
  <c r="P980" i="1" s="1"/>
  <c r="Q980" i="1" s="1"/>
  <c r="O981" i="1"/>
  <c r="P981" i="1" s="1"/>
  <c r="Q981" i="1" s="1"/>
  <c r="O982" i="1"/>
  <c r="P982" i="1" s="1"/>
  <c r="Q982" i="1" s="1"/>
  <c r="O983" i="1"/>
  <c r="P983" i="1" s="1"/>
  <c r="Q983" i="1" s="1"/>
  <c r="O984" i="1"/>
  <c r="P984" i="1" s="1"/>
  <c r="Q984" i="1" s="1"/>
  <c r="O985" i="1"/>
  <c r="P985" i="1" s="1"/>
  <c r="Q985" i="1" s="1"/>
  <c r="O986" i="1"/>
  <c r="P986" i="1" s="1"/>
  <c r="Q986" i="1" s="1"/>
  <c r="O987" i="1"/>
  <c r="P987" i="1" s="1"/>
  <c r="Q987" i="1" s="1"/>
  <c r="O988" i="1"/>
  <c r="P988" i="1" s="1"/>
  <c r="Q988" i="1" s="1"/>
  <c r="O989" i="1"/>
  <c r="P989" i="1" s="1"/>
  <c r="Q989" i="1" s="1"/>
  <c r="O990" i="1"/>
  <c r="P990" i="1" s="1"/>
  <c r="Q990" i="1" s="1"/>
  <c r="O991" i="1"/>
  <c r="P991" i="1" s="1"/>
  <c r="Q991" i="1" s="1"/>
  <c r="O992" i="1"/>
  <c r="P992" i="1" s="1"/>
  <c r="Q992" i="1" s="1"/>
  <c r="O993" i="1"/>
  <c r="P993" i="1" s="1"/>
  <c r="Q993" i="1" s="1"/>
  <c r="O994" i="1"/>
  <c r="P994" i="1" s="1"/>
  <c r="Q994" i="1" s="1"/>
  <c r="O995" i="1"/>
  <c r="P995" i="1" s="1"/>
  <c r="Q995" i="1" s="1"/>
  <c r="O996" i="1"/>
  <c r="P996" i="1" s="1"/>
  <c r="Q996" i="1" s="1"/>
  <c r="O997" i="1"/>
  <c r="P997" i="1" s="1"/>
  <c r="Q997" i="1" s="1"/>
  <c r="O998" i="1"/>
  <c r="P998" i="1" s="1"/>
  <c r="Q998" i="1" s="1"/>
  <c r="O999" i="1"/>
  <c r="P999" i="1" s="1"/>
  <c r="Q999" i="1" s="1"/>
  <c r="O1000" i="1"/>
  <c r="P1000" i="1" s="1"/>
  <c r="Q1000" i="1" s="1"/>
  <c r="O1001" i="1"/>
  <c r="P1001" i="1" s="1"/>
  <c r="Q1001" i="1" s="1"/>
</calcChain>
</file>

<file path=xl/sharedStrings.xml><?xml version="1.0" encoding="utf-8"?>
<sst xmlns="http://schemas.openxmlformats.org/spreadsheetml/2006/main" count="14072" uniqueCount="84">
  <si>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</si>
  <si>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</si>
  <si>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</si>
  <si>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</si>
  <si>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</si>
  <si>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</si>
  <si>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</si>
  <si>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</si>
  <si>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</si>
  <si>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</si>
  <si>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</si>
  <si>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</si>
  <si>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</si>
  <si>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</si>
  <si>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</si>
  <si>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</si>
  <si>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</si>
  <si>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</si>
  <si>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</si>
  <si>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</si>
  <si>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</si>
  <si>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</si>
  <si>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</si>
  <si>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</si>
  <si>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</si>
  <si>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</si>
  <si>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</si>
  <si>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</si>
  <si>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</si>
  <si>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</si>
  <si>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</si>
  <si>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</si>
  <si>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</si>
  <si>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</si>
  <si>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</si>
  <si>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</si>
  <si>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</si>
  <si>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</si>
  <si>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</si>
  <si>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</si>
  <si>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</si>
  <si>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</si>
  <si>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</si>
  <si>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</si>
  <si>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</si>
  <si>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</si>
  <si>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</si>
  <si>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</si>
  <si>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</si>
  <si>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</si>
  <si>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</si>
  <si>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</si>
  <si>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</si>
  <si>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</si>
  <si>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Total_Cost</t>
  </si>
  <si>
    <t>Gross_Profit</t>
  </si>
  <si>
    <t>Profit_Margin</t>
  </si>
  <si>
    <t>Month_Name</t>
  </si>
  <si>
    <t>Year</t>
  </si>
  <si>
    <t>Row Labels</t>
  </si>
  <si>
    <t>Grand Total</t>
  </si>
  <si>
    <t>Sum of Sales_Amount</t>
  </si>
  <si>
    <t>January</t>
  </si>
  <si>
    <t>February</t>
  </si>
  <si>
    <t>March</t>
  </si>
  <si>
    <t>April</t>
  </si>
  <si>
    <t>May</t>
  </si>
  <si>
    <t>June</t>
  </si>
  <si>
    <t>July</t>
  </si>
  <si>
    <t>August</t>
  </si>
  <si>
    <t>September</t>
  </si>
  <si>
    <t>October</t>
  </si>
  <si>
    <t>November</t>
  </si>
  <si>
    <t>December</t>
  </si>
  <si>
    <t>Sum of Gross_Profit</t>
  </si>
  <si>
    <t>2023 Annual Sales Performance Dashboard</t>
  </si>
  <si>
    <t>Author Name</t>
  </si>
  <si>
    <t>Date</t>
  </si>
  <si>
    <t>Table of Contents</t>
  </si>
  <si>
    <t>Nancy Irungu</t>
  </si>
  <si>
    <t>View Cleaned Data</t>
  </si>
  <si>
    <t>Sales Category Analysis</t>
  </si>
  <si>
    <t>Regional Profit Report</t>
  </si>
  <si>
    <t>GO TO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</si>
</sst>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name val="Calibri"/>
      <family val="2"/>
      <scheme val="minor"/>
    </font>
    <font>
      <b/>
      <sz val="24"/>
      <color theme="0"/>
      <name val="Calibri"/>
      <family val="2"/>
      <scheme val="minor"/>
    </font>
    <font>
      <u/>
      <sz val="11"/>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14" fontId="0" fillId="0" borderId="0" xfId="0" applyNumberFormat="1"/>
    <xf numFmtId="0" fontId="16" fillId="0" borderId="0" xfId="0" applyFont="1"/>
    <xf numFmtId="9" fontId="0" fillId="0" borderId="0" xfId="1" applyFont="1"/>
    <xf numFmtId="0" fontId="0" fillId="0" borderId="0" xfId="0" applyNumberFormat="1"/>
    <xf numFmtId="0" fontId="0" fillId="0" borderId="0" xfId="0" pivotButton="1"/>
    <xf numFmtId="0" fontId="0" fillId="0" borderId="0" xfId="0" applyAlignment="1">
      <alignment horizontal="left"/>
    </xf>
    <xf numFmtId="0" fontId="20" fillId="0" borderId="0" xfId="43"/>
    <xf numFmtId="0" fontId="0" fillId="34" borderId="0" xfId="0" applyFill="1" applyAlignment="1">
      <alignment horizontal="center"/>
    </xf>
    <xf numFmtId="0" fontId="19" fillId="33" borderId="0" xfId="0" applyFont="1" applyFill="1" applyAlignment="1">
      <alignment horizontal="center"/>
    </xf>
    <xf numFmtId="0" fontId="18" fillId="33" borderId="0" xfId="0" applyFont="1" applyFill="1" applyAlignment="1">
      <alignment horizont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numFmt numFmtId="0" formatCode="General"/>
    </dxf>
    <dxf>
      <numFmt numFmtId="0" formatCode="General"/>
    </dxf>
    <dxf>
      <numFmt numFmtId="0" formatCode="General"/>
    </dxf>
    <dxf>
      <numFmt numFmtId="0" formatCode="General"/>
    </dxf>
    <dxf>
      <numFmt numFmtId="19" formatCode="m/d/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sales_data project.xlsx]Pivot_Category!PivotTable1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Pivot_Category!$A$4:$A$8</c:f>
              <c:strCache>
                <c:ptCount val="4"/>
                <c:pt idx="0">
                  <c:v>Clothing</c:v>
                </c:pt>
                <c:pt idx="1">
                  <c:v>Electronics</c:v>
                </c:pt>
                <c:pt idx="2">
                  <c:v>Food</c:v>
                </c:pt>
                <c:pt idx="3">
                  <c:v>Furniture</c:v>
                </c:pt>
              </c:strCache>
            </c:strRef>
          </c:cat>
          <c:val>
            <c:numRef>
              <c:f>Pivot_Category!$B$4:$B$8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311B-4F78-8E09-EDE9D461F883}"/>
            </c:ext>
          </c:extLst>
        </c:ser>
        <c:dLbls>
          <c:showLegendKey val="0"/>
          <c:showVal val="0"/>
          <c:showCatName val="0"/>
          <c:showSerName val="0"/>
          <c:showPercent val="0"/>
          <c:showBubbleSize val="0"/>
        </c:dLbls>
        <c:gapWidth val="219"/>
        <c:overlap val="-27"/>
        <c:axId val="1378732495"/>
        <c:axId val="1378732911"/>
      </c:barChart>
      <c:catAx>
        <c:axId val="137873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732911"/>
        <c:crosses val="autoZero"/>
        <c:auto val="1"/>
        <c:lblAlgn val="ctr"/>
        <c:lblOffset val="100"/>
        <c:noMultiLvlLbl val="0"/>
      </c:catAx>
      <c:valAx>
        <c:axId val="13787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73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sales_data project.xlsx]Pivot_Trends!PivotTable2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Pivot_Trends!$A$4:$A$16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Pivot_Trends!$B$4:$B$16</c:f>
              <c:numCache>
                <c:formatCode>General</c:formatCode>
                <c:ptCount val="12"/>
                <c:pt idx="0">
                  <c:v>23456.01</c:v>
                </c:pt>
                <c:pt idx="1">
                  <c:v>19358.670000000002</c:v>
                </c:pt>
                <c:pt idx="2">
                  <c:v>27056.449999999997</c:v>
                </c:pt>
                <c:pt idx="3">
                  <c:v>24020.469999999998</c:v>
                </c:pt>
                <c:pt idx="4">
                  <c:v>11567.33</c:v>
                </c:pt>
                <c:pt idx="5">
                  <c:v>20019.579999999998</c:v>
                </c:pt>
                <c:pt idx="6">
                  <c:v>21295.199999999997</c:v>
                </c:pt>
                <c:pt idx="7">
                  <c:v>27638.080000000002</c:v>
                </c:pt>
                <c:pt idx="8">
                  <c:v>23122.75</c:v>
                </c:pt>
                <c:pt idx="9">
                  <c:v>10581.539999999999</c:v>
                </c:pt>
                <c:pt idx="10">
                  <c:v>41412.31</c:v>
                </c:pt>
                <c:pt idx="11">
                  <c:v>11261.079999999998</c:v>
                </c:pt>
              </c:numCache>
            </c:numRef>
          </c:val>
          <c:smooth val="0"/>
          <c:extLst>
            <c:ext xmlns:c16="http://schemas.microsoft.com/office/drawing/2014/chart" uri="{C3380CC4-5D6E-409C-BE32-E72D297353CC}">
              <c16:uniqueId val="{00000000-CA5A-494D-8297-70DFCC437553}"/>
            </c:ext>
          </c:extLst>
        </c:ser>
        <c:dLbls>
          <c:showLegendKey val="0"/>
          <c:showVal val="0"/>
          <c:showCatName val="0"/>
          <c:showSerName val="0"/>
          <c:showPercent val="0"/>
          <c:showBubbleSize val="0"/>
        </c:dLbls>
        <c:marker val="1"/>
        <c:smooth val="0"/>
        <c:axId val="1313866623"/>
        <c:axId val="1313867455"/>
      </c:lineChart>
      <c:catAx>
        <c:axId val="13138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67455"/>
        <c:crosses val="autoZero"/>
        <c:auto val="1"/>
        <c:lblAlgn val="ctr"/>
        <c:lblOffset val="100"/>
        <c:noMultiLvlLbl val="0"/>
      </c:catAx>
      <c:valAx>
        <c:axId val="13138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sales_data project.xlsx]Pivot_Regionals!PivotTable3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Pivot_Regionals!$B$3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DE-43F8-94C7-46B1EB0F4A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DE-43F8-94C7-46B1EB0F4A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DE-43F8-94C7-46B1EB0F4A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DE-43F8-94C7-46B1EB0F4A2B}"/>
              </c:ext>
            </c:extLst>
          </c:dPt>
          <c:cat>
            <c:strRef>
              <c:f>Pivot_Regionals!$A$4:$A$8</c:f>
              <c:strCache>
                <c:ptCount val="4"/>
                <c:pt idx="0">
                  <c:v>East</c:v>
                </c:pt>
                <c:pt idx="1">
                  <c:v>North</c:v>
                </c:pt>
                <c:pt idx="2">
                  <c:v>South</c:v>
                </c:pt>
                <c:pt idx="3">
                  <c:v>West</c:v>
                </c:pt>
              </c:strCache>
            </c:strRef>
          </c:cat>
          <c:val>
            <c:numRef>
              <c:f>Pivot_Regionals!$B$4:$B$8</c:f>
              <c:numCache>
                <c:formatCode>General</c:formatCode>
                <c:ptCount val="4"/>
                <c:pt idx="0">
                  <c:v>-15167050.92</c:v>
                </c:pt>
                <c:pt idx="1">
                  <c:v>-15177330.140000012</c:v>
                </c:pt>
                <c:pt idx="2">
                  <c:v>-13608579.399999989</c:v>
                </c:pt>
                <c:pt idx="3">
                  <c:v>-14869867.949999999</c:v>
                </c:pt>
              </c:numCache>
            </c:numRef>
          </c:val>
          <c:extLst>
            <c:ext xmlns:c16="http://schemas.microsoft.com/office/drawing/2014/chart" uri="{C3380CC4-5D6E-409C-BE32-E72D297353CC}">
              <c16:uniqueId val="{00000000-84FD-4365-90A2-354244905F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sales_data project.xlsx]Pivot_Category!PivotTable1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1"/>
            </a:solidFill>
            <a:ln>
              <a:noFill/>
            </a:ln>
            <a:effectLst/>
          </c:spPr>
          <c:invertIfNegative val="0"/>
          <c:cat>
            <c:strRef>
              <c:f>Pivot_Category!$A$4:$A$8</c:f>
              <c:strCache>
                <c:ptCount val="4"/>
                <c:pt idx="0">
                  <c:v>Clothing</c:v>
                </c:pt>
                <c:pt idx="1">
                  <c:v>Electronics</c:v>
                </c:pt>
                <c:pt idx="2">
                  <c:v>Food</c:v>
                </c:pt>
                <c:pt idx="3">
                  <c:v>Furniture</c:v>
                </c:pt>
              </c:strCache>
            </c:strRef>
          </c:cat>
          <c:val>
            <c:numRef>
              <c:f>Pivot_Category!$B$4:$B$8</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00ED-42AA-8CA3-13EA81188B17}"/>
            </c:ext>
          </c:extLst>
        </c:ser>
        <c:dLbls>
          <c:showLegendKey val="0"/>
          <c:showVal val="0"/>
          <c:showCatName val="0"/>
          <c:showSerName val="0"/>
          <c:showPercent val="0"/>
          <c:showBubbleSize val="0"/>
        </c:dLbls>
        <c:gapWidth val="219"/>
        <c:overlap val="-27"/>
        <c:axId val="1378732495"/>
        <c:axId val="1378732911"/>
      </c:barChart>
      <c:catAx>
        <c:axId val="137873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732911"/>
        <c:crosses val="autoZero"/>
        <c:auto val="1"/>
        <c:lblAlgn val="ctr"/>
        <c:lblOffset val="100"/>
        <c:noMultiLvlLbl val="0"/>
      </c:catAx>
      <c:valAx>
        <c:axId val="137873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73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sales_data project.xlsx]Pivot_Trends!PivotTable2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Pivot_Trends!$A$4:$A$16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Pivot_Trends!$B$4:$B$16</c:f>
              <c:numCache>
                <c:formatCode>General</c:formatCode>
                <c:ptCount val="12"/>
                <c:pt idx="0">
                  <c:v>23456.01</c:v>
                </c:pt>
                <c:pt idx="1">
                  <c:v>19358.670000000002</c:v>
                </c:pt>
                <c:pt idx="2">
                  <c:v>27056.449999999997</c:v>
                </c:pt>
                <c:pt idx="3">
                  <c:v>24020.469999999998</c:v>
                </c:pt>
                <c:pt idx="4">
                  <c:v>11567.33</c:v>
                </c:pt>
                <c:pt idx="5">
                  <c:v>20019.579999999998</c:v>
                </c:pt>
                <c:pt idx="6">
                  <c:v>21295.199999999997</c:v>
                </c:pt>
                <c:pt idx="7">
                  <c:v>27638.080000000002</c:v>
                </c:pt>
                <c:pt idx="8">
                  <c:v>23122.75</c:v>
                </c:pt>
                <c:pt idx="9">
                  <c:v>10581.539999999999</c:v>
                </c:pt>
                <c:pt idx="10">
                  <c:v>41412.31</c:v>
                </c:pt>
                <c:pt idx="11">
                  <c:v>11261.079999999998</c:v>
                </c:pt>
              </c:numCache>
            </c:numRef>
          </c:val>
          <c:smooth val="0"/>
          <c:extLst>
            <c:ext xmlns:c16="http://schemas.microsoft.com/office/drawing/2014/chart" uri="{C3380CC4-5D6E-409C-BE32-E72D297353CC}">
              <c16:uniqueId val="{00000000-7CA4-4E33-A50D-0F8119EDA9EF}"/>
            </c:ext>
          </c:extLst>
        </c:ser>
        <c:dLbls>
          <c:showLegendKey val="0"/>
          <c:showVal val="0"/>
          <c:showCatName val="0"/>
          <c:showSerName val="0"/>
          <c:showPercent val="0"/>
          <c:showBubbleSize val="0"/>
        </c:dLbls>
        <c:marker val="1"/>
        <c:smooth val="0"/>
        <c:axId val="1313866623"/>
        <c:axId val="1313867455"/>
      </c:lineChart>
      <c:catAx>
        <c:axId val="13138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67455"/>
        <c:crosses val="autoZero"/>
        <c:auto val="1"/>
        <c:lblAlgn val="ctr"/>
        <c:lblOffset val="100"/>
        <c:noMultiLvlLbl val="0"/>
      </c:catAx>
      <c:valAx>
        <c:axId val="131386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6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sales_data project.xlsx]Pivot_Regionals!PivotTable3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Profitability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Pivot_Regionals!$B$3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EB-4089-BAF6-60AF2B2E03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EB-4089-BAF6-60AF2B2E03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EB-4089-BAF6-60AF2B2E03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5EB-4089-BAF6-60AF2B2E03FD}"/>
              </c:ext>
            </c:extLst>
          </c:dPt>
          <c:cat>
            <c:strRef>
              <c:f>Pivot_Regionals!$A$4:$A$8</c:f>
              <c:strCache>
                <c:ptCount val="4"/>
                <c:pt idx="0">
                  <c:v>East</c:v>
                </c:pt>
                <c:pt idx="1">
                  <c:v>North</c:v>
                </c:pt>
                <c:pt idx="2">
                  <c:v>South</c:v>
                </c:pt>
                <c:pt idx="3">
                  <c:v>West</c:v>
                </c:pt>
              </c:strCache>
            </c:strRef>
          </c:cat>
          <c:val>
            <c:numRef>
              <c:f>Pivot_Regionals!$B$4:$B$8</c:f>
              <c:numCache>
                <c:formatCode>General</c:formatCode>
                <c:ptCount val="4"/>
                <c:pt idx="0">
                  <c:v>-15167050.92</c:v>
                </c:pt>
                <c:pt idx="1">
                  <c:v>-15177330.140000012</c:v>
                </c:pt>
                <c:pt idx="2">
                  <c:v>-13608579.399999989</c:v>
                </c:pt>
                <c:pt idx="3">
                  <c:v>-14869867.949999999</c:v>
                </c:pt>
              </c:numCache>
            </c:numRef>
          </c:val>
          <c:extLst>
            <c:ext xmlns:c16="http://schemas.microsoft.com/office/drawing/2014/chart" uri="{C3380CC4-5D6E-409C-BE32-E72D297353CC}">
              <c16:uniqueId val="{00000008-55EB-4089-BAF6-60AF2B2E03F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9</xdr:row>
      <xdr:rowOff>22860</xdr:rowOff>
    </xdr:from>
    <xdr:to>
      <xdr:col>8</xdr:col>
      <xdr:colOff>274320</xdr:colOff>
      <xdr:row>25</xdr:row>
      <xdr:rowOff>163830</xdr:rowOff>
    </xdr:to>
    <xdr:graphicFrame macro="">
      <xdr:nvGraphicFramePr>
        <xdr:cNvPr id="2" name="Chart 1">
          <a:extLst>
            <a:ext uri="{FF2B5EF4-FFF2-40B4-BE49-F238E27FC236}">
              <a16:creationId xmlns:a16="http://schemas.microsoft.com/office/drawing/2014/main" id="{11F5A327-C2FC-4635-AD21-4F26A8E33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6</xdr:row>
      <xdr:rowOff>140970</xdr:rowOff>
    </xdr:from>
    <xdr:to>
      <xdr:col>11</xdr:col>
      <xdr:colOff>0</xdr:colOff>
      <xdr:row>21</xdr:row>
      <xdr:rowOff>140970</xdr:rowOff>
    </xdr:to>
    <xdr:graphicFrame macro="">
      <xdr:nvGraphicFramePr>
        <xdr:cNvPr id="2" name="Chart 1">
          <a:extLst>
            <a:ext uri="{FF2B5EF4-FFF2-40B4-BE49-F238E27FC236}">
              <a16:creationId xmlns:a16="http://schemas.microsoft.com/office/drawing/2014/main" id="{8F9BC9A8-43A1-4D96-B3D6-F64DA87B7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421640</xdr:colOff>
      <xdr:row>1</xdr:row>
      <xdr:rowOff>77470</xdr:rowOff>
    </xdr:from>
    <xdr:to>
      <xdr:col>10</xdr:col>
      <xdr:colOff>116840</xdr:colOff>
      <xdr:row>16</xdr:row>
      <xdr:rowOff>77470</xdr:rowOff>
    </xdr:to>
    <xdr:graphicFrame macro="">
      <xdr:nvGraphicFramePr>
        <xdr:cNvPr id="2" name="Chart 1">
          <a:extLst>
            <a:ext uri="{FF2B5EF4-FFF2-40B4-BE49-F238E27FC236}">
              <a16:creationId xmlns:a16="http://schemas.microsoft.com/office/drawing/2014/main" id="{F771296E-75BB-47A2-BE78-6D0123078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53340</xdr:colOff>
      <xdr:row>1</xdr:row>
      <xdr:rowOff>68580</xdr:rowOff>
    </xdr:from>
    <xdr:to>
      <xdr:col>9</xdr:col>
      <xdr:colOff>548640</xdr:colOff>
      <xdr:row>15</xdr:row>
      <xdr:rowOff>45720</xdr:rowOff>
    </xdr:to>
    <xdr:graphicFrame macro="">
      <xdr:nvGraphicFramePr>
        <xdr:cNvPr id="2" name="PT_Category">
          <a:extLst>
            <a:ext uri="{FF2B5EF4-FFF2-40B4-BE49-F238E27FC236}">
              <a16:creationId xmlns:a16="http://schemas.microsoft.com/office/drawing/2014/main" id="{F5D164DF-1415-49FC-A6C9-B8F3EC968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464820</xdr:colOff>
      <xdr:row>14</xdr:row>
      <xdr:rowOff>38100</xdr:rowOff>
    </xdr:from>
    <xdr:to>
      <xdr:col>14</xdr:col>
      <xdr:colOff>129540</xdr:colOff>
      <xdr:row>29</xdr:row>
      <xdr:rowOff>38100</xdr:rowOff>
    </xdr:to>
    <xdr:graphicFrame macro="">
      <xdr:nvGraphicFramePr>
        <xdr:cNvPr id="3" name="Chart 2">
          <a:extLst>
            <a:ext uri="{FF2B5EF4-FFF2-40B4-BE49-F238E27FC236}">
              <a16:creationId xmlns:a16="http://schemas.microsoft.com/office/drawing/2014/main" id="{1C4A9B55-579B-4A38-A997-E2FD11256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563880</xdr:colOff>
      <xdr:row>0</xdr:row>
      <xdr:rowOff>381000</xdr:rowOff>
    </xdr:from>
    <xdr:to>
      <xdr:col>17</xdr:col>
      <xdr:colOff>205740</xdr:colOff>
      <xdr:row>14</xdr:row>
      <xdr:rowOff>0</xdr:rowOff>
    </xdr:to>
    <xdr:graphicFrame macro="">
      <xdr:nvGraphicFramePr>
        <xdr:cNvPr id="4" name="Chart 3">
          <a:extLst>
            <a:ext uri="{FF2B5EF4-FFF2-40B4-BE49-F238E27FC236}">
              <a16:creationId xmlns:a16="http://schemas.microsoft.com/office/drawing/2014/main" id="{283D2697-BCE1-4E88-BFAF-9B7193F73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281940</xdr:colOff>
      <xdr:row>14</xdr:row>
      <xdr:rowOff>152400</xdr:rowOff>
    </xdr:from>
    <xdr:to>
      <xdr:col>17</xdr:col>
      <xdr:colOff>281940</xdr:colOff>
      <xdr:row>28</xdr:row>
      <xdr:rowOff>59055</xdr:rowOff>
    </xdr:to>
    <mc:AlternateContent xmlns:mc="http://schemas.openxmlformats.org/markup-compatibility/2006" xmlns:a14="http://schemas.microsoft.com/office/drawing/2010/main">
      <mc:Choice Requires="a14">
        <xdr:graphicFrame macro="">
          <xdr:nvGraphicFramePr>
            <xdr:cNvPr id="5" name="Region_and_Sales_Rep">
              <a:extLst>
                <a:ext uri="{FF2B5EF4-FFF2-40B4-BE49-F238E27FC236}">
                  <a16:creationId xmlns:a16="http://schemas.microsoft.com/office/drawing/2014/main" id="{7FD9293F-D10B-4DB4-B9D8-C88C8D07AFA3}"/>
                </a:ext>
              </a:extLst>
            </xdr:cNvPr>
            <xdr:cNvGraphicFramePr/>
          </xdr:nvGraphicFramePr>
          <xdr:xfrm>
            <a:off x="0" y="0"/>
            <a:ext cx="0" cy="0"/>
          </xdr:xfrm>
          <a:graphic>
            <a:graphicData uri="http://schemas.microsoft.com/office/drawing/2010/slicer">
              <sle:slicer xmlns:sle="http://schemas.microsoft.com/office/drawing/2010/slicer" name="Region_and_Sales_Rep"/>
            </a:graphicData>
          </a:graphic>
        </xdr:graphicFrame>
      </mc:Choice>
      <mc:Fallback xmlns="">
        <xdr:sp macro="" textlink="">
          <xdr:nvSpPr>
            <xdr:cNvPr id="0" name=""/>
            <xdr:cNvSpPr>
              <a:spLocks noTextEdit="1"/>
            </xdr:cNvSpPr>
          </xdr:nvSpPr>
          <xdr:spPr>
            <a:xfrm>
              <a:off x="8816340" y="2926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312420</xdr:colOff>
      <xdr:row>2</xdr:row>
      <xdr:rowOff>160020</xdr:rowOff>
    </xdr:from>
    <xdr:to>
      <xdr:col>21</xdr:col>
      <xdr:colOff>7620</xdr:colOff>
      <xdr:row>7</xdr:row>
      <xdr:rowOff>160020</xdr:rowOff>
    </xdr:to>
    <xdr:sp macro="" textlink="">
      <xdr:nvSpPr>
        <xdr:cNvPr id="6" name="Rectangle: Single Corner Snipped 5">
          <a:extLst>
            <a:ext uri="{FF2B5EF4-FFF2-40B4-BE49-F238E27FC236}">
              <a16:creationId xmlns:a16="http://schemas.microsoft.com/office/drawing/2014/main" id="{D057890E-FEBD-4BBA-B1D6-D4C677ABACDF}"/>
            </a:ext>
          </a:extLst>
        </xdr:cNvPr>
        <xdr:cNvSpPr/>
      </xdr:nvSpPr>
      <xdr:spPr>
        <a:xfrm>
          <a:off x="11894820" y="739140"/>
          <a:ext cx="914400" cy="914400"/>
        </a:xfrm>
        <a:prstGeom prst="snip1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34.599890277779" createdVersion="7" refreshedVersion="7" minRefreshableVersion="3" recordCount="1000" xr:uid="{00000000-000A-0000-FFFF-FFFF07000000}">
  <cacheSource type="worksheet">
    <worksheetSource name="Table2"/>
  </cacheSource>
  <cacheFields count="19">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ount="20">
        <s v="North-Bob"/>
        <s v="West-Bob"/>
        <s v="South-David"/>
        <s v="South-Bob"/>
        <s v="East-Charlie"/>
        <s v="West-Charlie"/>
        <s v="South-Eve"/>
        <s v="North-Eve"/>
        <s v="West-Eve"/>
        <s v="South-Alice"/>
        <s v="South-Charlie"/>
        <s v="North-David"/>
        <s v="East-Bob"/>
        <s v="West-David"/>
        <s v="East-Eve"/>
        <s v="North-Alice"/>
        <s v="East-David"/>
        <s v="West-Alice"/>
        <s v="East-Alice"/>
        <s v="North-Charlie"/>
      </sharedItems>
    </cacheField>
    <cacheField name="Total_Cost" numFmtId="0">
      <sharedItems containsSemiMixedTypes="0" containsString="0" containsNumber="1" minValue="60.28" maxValue="235808.09"/>
    </cacheField>
    <cacheField name="Gross_Profit" numFmtId="0">
      <sharedItems containsSemiMixedTypes="0" containsString="0" containsNumber="1" minValue="-235588.27" maxValue="8865.3700000000008"/>
    </cacheField>
    <cacheField name="Profit_Margin" numFmtId="9">
      <sharedItems containsSemiMixedTypes="0" containsString="0" containsNumber="1" minValue="-1808.2971463478486" maxValue="0.99083320787541196"/>
    </cacheField>
    <cacheField name="Month_Name" numFmtId="0">
      <sharedItems count="12">
        <s v="February"/>
        <s v="April"/>
        <s v="September"/>
        <s v="August"/>
        <s v="March"/>
        <s v="January"/>
        <s v="June"/>
        <s v="October"/>
        <s v="November"/>
        <s v="December"/>
        <s v="May"/>
        <s v="July"/>
      </sharedItems>
    </cacheField>
    <cacheField name="Year" numFmtId="0">
      <sharedItems containsSemiMixedTypes="0" containsString="0" containsNumber="1" containsInteger="1" minValue="2023" maxValue="2024"/>
    </cacheField>
  </cacheFields>
  <extLst>
    <ext xmlns:x14="http://schemas.microsoft.com/office/spreadsheetml/2009/9/main" uri="{725AE2AE-9491-48be-B2B4-4EB974FC3084}">
      <x14:pivotCacheDefinition pivotCacheId="474958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s v="Bob"/>
    <x v="0"/>
    <n v="5053.97"/>
    <n v="18"/>
    <x v="0"/>
    <n v="152.75"/>
    <n v="267.22000000000003"/>
    <s v="Returning"/>
    <n v="0.09"/>
    <s v="Cash"/>
    <s v="Online"/>
    <x v="0"/>
    <n v="2749.5"/>
    <n v="2304.4700000000003"/>
    <n v="0.45597223568798395"/>
    <x v="0"/>
    <n v="2023"/>
  </r>
  <r>
    <n v="1093"/>
    <d v="2023-04-21T00:00:00"/>
    <s v="Bob"/>
    <x v="1"/>
    <n v="4384.0200000000004"/>
    <n v="17"/>
    <x v="0"/>
    <n v="3816.39"/>
    <n v="4209.4399999999996"/>
    <s v="Returning"/>
    <n v="0.11"/>
    <s v="Cash"/>
    <s v="Retail"/>
    <x v="1"/>
    <n v="64878.63"/>
    <n v="-60494.61"/>
    <n v="-13.798890059808119"/>
    <x v="1"/>
    <n v="2023"/>
  </r>
  <r>
    <n v="1015"/>
    <d v="2023-09-21T00:00:00"/>
    <s v="David"/>
    <x v="2"/>
    <n v="4631.2299999999996"/>
    <n v="30"/>
    <x v="1"/>
    <n v="261.56"/>
    <n v="371.4"/>
    <s v="Returning"/>
    <n v="0.2"/>
    <s v="Bank Transfer"/>
    <s v="Retail"/>
    <x v="2"/>
    <n v="7846.8"/>
    <n v="-3215.5700000000006"/>
    <n v="-0.69432310638858374"/>
    <x v="2"/>
    <n v="2023"/>
  </r>
  <r>
    <n v="1072"/>
    <d v="2023-08-24T00:00:00"/>
    <s v="Bob"/>
    <x v="2"/>
    <n v="2167.94"/>
    <n v="39"/>
    <x v="2"/>
    <n v="4330.03"/>
    <n v="4467.75"/>
    <s v="New"/>
    <n v="0.02"/>
    <s v="Credit Card"/>
    <s v="Retail"/>
    <x v="3"/>
    <n v="168871.16999999998"/>
    <n v="-166703.22999999998"/>
    <n v="-76.894761847652603"/>
    <x v="3"/>
    <n v="2023"/>
  </r>
  <r>
    <n v="1061"/>
    <d v="2023-03-24T00:00:00"/>
    <s v="Charlie"/>
    <x v="3"/>
    <n v="3750.2"/>
    <n v="13"/>
    <x v="3"/>
    <n v="637.37"/>
    <n v="692.71"/>
    <s v="New"/>
    <n v="0.08"/>
    <s v="Credit Card"/>
    <s v="Online"/>
    <x v="4"/>
    <n v="8285.81"/>
    <n v="-4535.6099999999997"/>
    <n v="-1.2094314969868274"/>
    <x v="4"/>
    <n v="2023"/>
  </r>
  <r>
    <n v="1021"/>
    <d v="2023-02-11T00:00:00"/>
    <s v="Charlie"/>
    <x v="1"/>
    <n v="3761.15"/>
    <n v="32"/>
    <x v="1"/>
    <n v="900.79"/>
    <n v="1106.51"/>
    <s v="New"/>
    <n v="0.21"/>
    <s v="Cash"/>
    <s v="Online"/>
    <x v="5"/>
    <n v="28825.279999999999"/>
    <n v="-25064.129999999997"/>
    <n v="-6.6639538439041246"/>
    <x v="0"/>
    <n v="2023"/>
  </r>
  <r>
    <n v="1083"/>
    <d v="2023-04-11T00:00:00"/>
    <s v="Bob"/>
    <x v="1"/>
    <n v="618.30999999999995"/>
    <n v="29"/>
    <x v="0"/>
    <n v="2408.81"/>
    <n v="2624.09"/>
    <s v="Returning"/>
    <n v="0.14000000000000001"/>
    <s v="Cash"/>
    <s v="Online"/>
    <x v="1"/>
    <n v="69855.490000000005"/>
    <n v="-69237.180000000008"/>
    <n v="-111.9781015995213"/>
    <x v="1"/>
    <n v="2023"/>
  </r>
  <r>
    <n v="1087"/>
    <d v="2023-01-06T00:00:00"/>
    <s v="Eve"/>
    <x v="2"/>
    <n v="7698.92"/>
    <n v="46"/>
    <x v="0"/>
    <n v="3702.51"/>
    <n v="3964.65"/>
    <s v="New"/>
    <n v="0.12"/>
    <s v="Bank Transfer"/>
    <s v="Online"/>
    <x v="6"/>
    <n v="170315.46000000002"/>
    <n v="-162616.54"/>
    <n v="-21.121993734186095"/>
    <x v="5"/>
    <n v="2023"/>
  </r>
  <r>
    <n v="1075"/>
    <d v="2023-06-29T00:00:00"/>
    <s v="David"/>
    <x v="2"/>
    <n v="4223.3900000000003"/>
    <n v="30"/>
    <x v="0"/>
    <n v="738.06"/>
    <n v="1095.44999999999"/>
    <s v="New"/>
    <n v="0.05"/>
    <s v="Bank Transfer"/>
    <s v="Online"/>
    <x v="2"/>
    <n v="22141.8"/>
    <n v="-17918.41"/>
    <n v="-4.2426605167886455"/>
    <x v="6"/>
    <n v="2023"/>
  </r>
  <r>
    <n v="1075"/>
    <d v="2023-10-09T00:00:00"/>
    <s v="Charlie"/>
    <x v="1"/>
    <n v="8239.58"/>
    <n v="18"/>
    <x v="2"/>
    <n v="2228.35"/>
    <n v="2682.34"/>
    <s v="New"/>
    <n v="0.13"/>
    <s v="Bank Transfer"/>
    <s v="Online"/>
    <x v="5"/>
    <n v="40110.299999999996"/>
    <n v="-31870.719999999994"/>
    <n v="-3.8680029807344543"/>
    <x v="7"/>
    <n v="2023"/>
  </r>
  <r>
    <n v="1088"/>
    <d v="2023-11-16T00:00:00"/>
    <s v="Eve"/>
    <x v="0"/>
    <n v="8518.4500000000007"/>
    <n v="13"/>
    <x v="0"/>
    <n v="2440.11"/>
    <n v="2517.6"/>
    <s v="New"/>
    <n v="0.23"/>
    <s v="Bank Transfer"/>
    <s v="Retail"/>
    <x v="7"/>
    <n v="31721.43"/>
    <n v="-23202.98"/>
    <n v="-2.7238499961847515"/>
    <x v="8"/>
    <n v="2023"/>
  </r>
  <r>
    <n v="1100"/>
    <d v="2023-08-14T00:00:00"/>
    <s v="Bob"/>
    <x v="1"/>
    <n v="2198.7399999999998"/>
    <n v="43"/>
    <x v="1"/>
    <n v="1100.81"/>
    <n v="1137.44"/>
    <s v="Returning"/>
    <n v="0.08"/>
    <s v="Bank Transfer"/>
    <s v="Online"/>
    <x v="1"/>
    <n v="47334.829999999994"/>
    <n v="-45136.09"/>
    <n v="-20.528161583452341"/>
    <x v="3"/>
    <n v="2023"/>
  </r>
  <r>
    <n v="1024"/>
    <d v="2023-11-11T00:00:00"/>
    <s v="Eve"/>
    <x v="1"/>
    <n v="6607.8"/>
    <n v="21"/>
    <x v="1"/>
    <n v="622.01"/>
    <n v="641.09"/>
    <s v="Returning"/>
    <n v="0"/>
    <s v="Bank Transfer"/>
    <s v="Retail"/>
    <x v="8"/>
    <n v="13062.21"/>
    <n v="-6454.4099999999989"/>
    <n v="-0.97678652501589014"/>
    <x v="8"/>
    <n v="2023"/>
  </r>
  <r>
    <n v="1003"/>
    <d v="2023-12-31T00:00:00"/>
    <s v="Alice"/>
    <x v="2"/>
    <n v="4775.59"/>
    <n v="30"/>
    <x v="0"/>
    <n v="4190.28"/>
    <n v="4270.6499999999996"/>
    <s v="New"/>
    <n v="0.2"/>
    <s v="Cash"/>
    <s v="Online"/>
    <x v="9"/>
    <n v="125708.4"/>
    <n v="-120932.81"/>
    <n v="-25.323114002667733"/>
    <x v="9"/>
    <n v="2023"/>
  </r>
  <r>
    <n v="1022"/>
    <d v="2023-08-17T00:00:00"/>
    <s v="Charlie"/>
    <x v="2"/>
    <n v="8813.5499999999993"/>
    <n v="21"/>
    <x v="1"/>
    <n v="2537.1999999999998"/>
    <n v="2869.6"/>
    <s v="New"/>
    <n v="0.28999999999999998"/>
    <s v="Bank Transfer"/>
    <s v="Retail"/>
    <x v="10"/>
    <n v="53281.2"/>
    <n v="-44467.649999999994"/>
    <n v="-5.0453733172217774"/>
    <x v="3"/>
    <n v="2023"/>
  </r>
  <r>
    <n v="1053"/>
    <d v="2023-10-16T00:00:00"/>
    <s v="Bob"/>
    <x v="0"/>
    <n v="2235.83"/>
    <n v="48"/>
    <x v="0"/>
    <n v="121.19"/>
    <n v="487.65"/>
    <s v="New"/>
    <n v="0.18"/>
    <s v="Cash"/>
    <s v="Retail"/>
    <x v="0"/>
    <n v="5817.12"/>
    <n v="-3581.29"/>
    <n v="-1.6017720488588132"/>
    <x v="7"/>
    <n v="2023"/>
  </r>
  <r>
    <n v="1002"/>
    <d v="2023-05-30T00:00:00"/>
    <s v="David"/>
    <x v="0"/>
    <n v="6810.35"/>
    <n v="17"/>
    <x v="0"/>
    <n v="4024.76"/>
    <n v="4420.1499999999996"/>
    <s v="Returning"/>
    <n v="0.04"/>
    <s v="Cash"/>
    <s v="Online"/>
    <x v="11"/>
    <n v="68420.92"/>
    <n v="-61610.57"/>
    <n v="-9.0466084709302752"/>
    <x v="10"/>
    <n v="2023"/>
  </r>
  <r>
    <n v="1088"/>
    <d v="2023-10-04T00:00:00"/>
    <s v="Bob"/>
    <x v="3"/>
    <n v="6116.75"/>
    <n v="40"/>
    <x v="3"/>
    <n v="4904.93"/>
    <n v="5034.3500000000004"/>
    <s v="New"/>
    <n v="0.1"/>
    <s v="Credit Card"/>
    <s v="Retail"/>
    <x v="12"/>
    <n v="196197.2"/>
    <n v="-190080.45"/>
    <n v="-31.075399517717745"/>
    <x v="7"/>
    <n v="2023"/>
  </r>
  <r>
    <n v="1030"/>
    <d v="2023-07-17T00:00:00"/>
    <s v="David"/>
    <x v="1"/>
    <n v="3023.48"/>
    <n v="19"/>
    <x v="2"/>
    <n v="3049.33"/>
    <n v="3209.22"/>
    <s v="Returning"/>
    <n v="0.26"/>
    <s v="Cash"/>
    <s v="Online"/>
    <x v="13"/>
    <n v="57937.27"/>
    <n v="-54913.789999999994"/>
    <n v="-18.162445261751358"/>
    <x v="11"/>
    <n v="2023"/>
  </r>
  <r>
    <n v="1038"/>
    <d v="2023-03-11T00:00:00"/>
    <s v="Bob"/>
    <x v="2"/>
    <n v="1452.35"/>
    <n v="15"/>
    <x v="2"/>
    <n v="2543.36"/>
    <n v="2790.1"/>
    <s v="Returning"/>
    <n v="7.0000000000000007E-2"/>
    <s v="Cash"/>
    <s v="Online"/>
    <x v="3"/>
    <n v="38150.400000000001"/>
    <n v="-36698.050000000003"/>
    <n v="-25.268048335456331"/>
    <x v="4"/>
    <n v="2023"/>
  </r>
  <r>
    <n v="1002"/>
    <d v="2023-04-22T00:00:00"/>
    <s v="Eve"/>
    <x v="0"/>
    <n v="6551.23"/>
    <n v="9"/>
    <x v="3"/>
    <n v="4398.16"/>
    <n v="4439.12"/>
    <s v="New"/>
    <n v="0.18"/>
    <s v="Bank Transfer"/>
    <s v="Online"/>
    <x v="7"/>
    <n v="39583.440000000002"/>
    <n v="-33032.210000000006"/>
    <n v="-5.042138651825689"/>
    <x v="1"/>
    <n v="2023"/>
  </r>
  <r>
    <n v="1064"/>
    <d v="2023-01-04T00:00:00"/>
    <s v="Eve"/>
    <x v="3"/>
    <n v="7412.11"/>
    <n v="10"/>
    <x v="3"/>
    <n v="4764.96"/>
    <n v="5074.42"/>
    <s v="New"/>
    <n v="0.12"/>
    <s v="Cash"/>
    <s v="Online"/>
    <x v="14"/>
    <n v="47649.599999999999"/>
    <n v="-40237.49"/>
    <n v="-5.4286147938980935"/>
    <x v="5"/>
    <n v="2023"/>
  </r>
  <r>
    <n v="1060"/>
    <d v="2023-12-16T00:00:00"/>
    <s v="Eve"/>
    <x v="3"/>
    <n v="3224.71"/>
    <n v="44"/>
    <x v="2"/>
    <n v="3784.96"/>
    <n v="4276.99"/>
    <s v="New"/>
    <n v="0.06"/>
    <s v="Bank Transfer"/>
    <s v="Retail"/>
    <x v="14"/>
    <n v="166538.23999999999"/>
    <n v="-163313.53"/>
    <n v="-50.644408334392857"/>
    <x v="9"/>
    <n v="2023"/>
  </r>
  <r>
    <n v="1021"/>
    <d v="2023-11-27T00:00:00"/>
    <s v="Alice"/>
    <x v="2"/>
    <n v="6483.84"/>
    <n v="31"/>
    <x v="0"/>
    <n v="2254.9899999999998"/>
    <n v="2441.79"/>
    <s v="Returning"/>
    <n v="0.24"/>
    <s v="Bank Transfer"/>
    <s v="Online"/>
    <x v="9"/>
    <n v="69904.689999999988"/>
    <n v="-63420.849999999991"/>
    <n v="-9.7813718413779469"/>
    <x v="8"/>
    <n v="2023"/>
  </r>
  <r>
    <n v="1033"/>
    <d v="2023-11-14T00:00:00"/>
    <s v="David"/>
    <x v="2"/>
    <n v="4011.8"/>
    <n v="23"/>
    <x v="0"/>
    <n v="2981.5"/>
    <n v="3360.4"/>
    <s v="Returning"/>
    <n v="0.22"/>
    <s v="Bank Transfer"/>
    <s v="Retail"/>
    <x v="2"/>
    <n v="68574.5"/>
    <n v="-64562.7"/>
    <n v="-16.09320005982352"/>
    <x v="8"/>
    <n v="2023"/>
  </r>
  <r>
    <n v="1076"/>
    <d v="2023-12-16T00:00:00"/>
    <s v="Eve"/>
    <x v="3"/>
    <n v="7160.75"/>
    <n v="30"/>
    <x v="2"/>
    <n v="3519.63"/>
    <n v="3774.65"/>
    <s v="New"/>
    <n v="0.2"/>
    <s v="Credit Card"/>
    <s v="Retail"/>
    <x v="14"/>
    <n v="105588.90000000001"/>
    <n v="-98428.150000000009"/>
    <n v="-13.745508501204483"/>
    <x v="9"/>
    <n v="2023"/>
  </r>
  <r>
    <n v="1058"/>
    <d v="2023-04-05T00:00:00"/>
    <s v="Alice"/>
    <x v="0"/>
    <n v="2072.23"/>
    <n v="33"/>
    <x v="0"/>
    <n v="1011.65"/>
    <n v="1084.28"/>
    <s v="Returning"/>
    <n v="7.0000000000000007E-2"/>
    <s v="Bank Transfer"/>
    <s v="Retail"/>
    <x v="15"/>
    <n v="33384.449999999997"/>
    <n v="-31312.219999999998"/>
    <n v="-15.110397977058529"/>
    <x v="1"/>
    <n v="2023"/>
  </r>
  <r>
    <n v="1022"/>
    <d v="2023-06-01T00:00:00"/>
    <s v="David"/>
    <x v="3"/>
    <n v="8913.1299999999992"/>
    <n v="9"/>
    <x v="3"/>
    <n v="2263.65"/>
    <n v="2558.9499999999998"/>
    <s v="New"/>
    <n v="0.03"/>
    <s v="Cash"/>
    <s v="Online"/>
    <x v="16"/>
    <n v="20372.850000000002"/>
    <n v="-11459.720000000003"/>
    <n v="-1.2857122021108189"/>
    <x v="6"/>
    <n v="2023"/>
  </r>
  <r>
    <n v="1089"/>
    <d v="2023-11-07T00:00:00"/>
    <s v="Bob"/>
    <x v="1"/>
    <n v="2945.36"/>
    <n v="47"/>
    <x v="0"/>
    <n v="4157.62"/>
    <n v="4314.5599999999904"/>
    <s v="New"/>
    <n v="0.17"/>
    <s v="Bank Transfer"/>
    <s v="Retail"/>
    <x v="1"/>
    <n v="195408.13999999998"/>
    <n v="-192462.78"/>
    <n v="-65.344399326398133"/>
    <x v="8"/>
    <n v="2023"/>
  </r>
  <r>
    <n v="1049"/>
    <d v="2023-05-17T00:00:00"/>
    <s v="Alice"/>
    <x v="1"/>
    <n v="3741.08"/>
    <n v="1"/>
    <x v="0"/>
    <n v="3290.89"/>
    <n v="3317.75"/>
    <s v="Returning"/>
    <n v="0.17"/>
    <s v="Bank Transfer"/>
    <s v="Online"/>
    <x v="17"/>
    <n v="3290.89"/>
    <n v="450.19000000000005"/>
    <n v="0.12033690805863549"/>
    <x v="10"/>
    <n v="2023"/>
  </r>
  <r>
    <n v="1091"/>
    <d v="2023-09-04T00:00:00"/>
    <s v="Charlie"/>
    <x v="2"/>
    <n v="675.11"/>
    <n v="44"/>
    <x v="1"/>
    <n v="2085.46"/>
    <n v="2406.58"/>
    <s v="Returning"/>
    <n v="0.06"/>
    <s v="Bank Transfer"/>
    <s v="Retail"/>
    <x v="10"/>
    <n v="91760.24"/>
    <n v="-91085.13"/>
    <n v="-134.91894654204501"/>
    <x v="2"/>
    <n v="2023"/>
  </r>
  <r>
    <n v="1059"/>
    <d v="2023-08-31T00:00:00"/>
    <s v="Alice"/>
    <x v="0"/>
    <n v="1203.97"/>
    <n v="35"/>
    <x v="1"/>
    <n v="3333.64"/>
    <n v="3764.52"/>
    <s v="Returning"/>
    <n v="0.02"/>
    <s v="Credit Card"/>
    <s v="Online"/>
    <x v="15"/>
    <n v="116677.4"/>
    <n v="-115473.43"/>
    <n v="-95.910554249690605"/>
    <x v="3"/>
    <n v="2023"/>
  </r>
  <r>
    <n v="1042"/>
    <d v="2023-01-31T00:00:00"/>
    <s v="Alice"/>
    <x v="0"/>
    <n v="5207.03"/>
    <n v="11"/>
    <x v="1"/>
    <n v="635.20000000000005"/>
    <n v="814.14"/>
    <s v="Returning"/>
    <n v="0.02"/>
    <s v="Cash"/>
    <s v="Online"/>
    <x v="15"/>
    <n v="6987.2000000000007"/>
    <n v="-1780.170000000001"/>
    <n v="-0.34187819159866584"/>
    <x v="5"/>
    <n v="2023"/>
  </r>
  <r>
    <n v="1092"/>
    <d v="2023-02-09T00:00:00"/>
    <s v="David"/>
    <x v="1"/>
    <n v="2749.17"/>
    <n v="34"/>
    <x v="0"/>
    <n v="2037.41"/>
    <n v="2238.65"/>
    <s v="New"/>
    <n v="0.3"/>
    <s v="Credit Card"/>
    <s v="Online"/>
    <x v="13"/>
    <n v="69271.94"/>
    <n v="-66522.77"/>
    <n v="-24.197401397512703"/>
    <x v="0"/>
    <n v="2023"/>
  </r>
  <r>
    <n v="1060"/>
    <d v="2023-08-17T00:00:00"/>
    <s v="Bob"/>
    <x v="3"/>
    <n v="8371.25"/>
    <n v="16"/>
    <x v="2"/>
    <n v="3975.99"/>
    <n v="4422.59"/>
    <s v="New"/>
    <n v="0.24"/>
    <s v="Cash"/>
    <s v="Online"/>
    <x v="12"/>
    <n v="63615.839999999997"/>
    <n v="-55244.59"/>
    <n v="-6.5993238763625497"/>
    <x v="3"/>
    <n v="2023"/>
  </r>
  <r>
    <n v="1080"/>
    <d v="2023-02-05T00:00:00"/>
    <s v="Charlie"/>
    <x v="2"/>
    <n v="245.46"/>
    <n v="9"/>
    <x v="3"/>
    <n v="1141.52"/>
    <n v="1550.19"/>
    <s v="New"/>
    <n v="0.28000000000000003"/>
    <s v="Credit Card"/>
    <s v="Retail"/>
    <x v="10"/>
    <n v="10273.68"/>
    <n v="-10028.220000000001"/>
    <n v="-40.854803226594967"/>
    <x v="0"/>
    <n v="2023"/>
  </r>
  <r>
    <n v="1015"/>
    <d v="2023-08-11T00:00:00"/>
    <s v="Eve"/>
    <x v="3"/>
    <n v="3853.03"/>
    <n v="32"/>
    <x v="0"/>
    <n v="970.51"/>
    <n v="1330.84"/>
    <s v="Returning"/>
    <n v="0.06"/>
    <s v="Cash"/>
    <s v="Retail"/>
    <x v="14"/>
    <n v="31056.32"/>
    <n v="-27203.29"/>
    <n v="-7.0602331152365796"/>
    <x v="3"/>
    <n v="2023"/>
  </r>
  <r>
    <n v="1062"/>
    <d v="2023-01-06T00:00:00"/>
    <s v="Eve"/>
    <x v="3"/>
    <n v="3439.72"/>
    <n v="15"/>
    <x v="2"/>
    <n v="4756.55"/>
    <n v="4888.46"/>
    <s v="New"/>
    <n v="0.28999999999999998"/>
    <s v="Credit Card"/>
    <s v="Online"/>
    <x v="14"/>
    <n v="71348.25"/>
    <n v="-67908.53"/>
    <n v="-19.742458688497901"/>
    <x v="5"/>
    <n v="2023"/>
  </r>
  <r>
    <n v="1062"/>
    <d v="2023-11-18T00:00:00"/>
    <s v="Alice"/>
    <x v="3"/>
    <n v="291.33999999999997"/>
    <n v="12"/>
    <x v="0"/>
    <n v="1088.99"/>
    <n v="1545"/>
    <s v="Returning"/>
    <n v="0.04"/>
    <s v="Bank Transfer"/>
    <s v="Retail"/>
    <x v="18"/>
    <n v="13067.880000000001"/>
    <n v="-12776.54"/>
    <n v="-43.854396924555509"/>
    <x v="8"/>
    <n v="2023"/>
  </r>
  <r>
    <n v="1047"/>
    <d v="2023-08-08T00:00:00"/>
    <s v="David"/>
    <x v="0"/>
    <n v="1331.25"/>
    <n v="33"/>
    <x v="3"/>
    <n v="1341.55"/>
    <n v="1427.21"/>
    <s v="Returning"/>
    <n v="0.15"/>
    <s v="Credit Card"/>
    <s v="Online"/>
    <x v="11"/>
    <n v="44271.15"/>
    <n v="-42939.9"/>
    <n v="-32.255323943661971"/>
    <x v="3"/>
    <n v="2023"/>
  </r>
  <r>
    <n v="1062"/>
    <d v="2023-03-16T00:00:00"/>
    <s v="David"/>
    <x v="1"/>
    <n v="4195.0600000000004"/>
    <n v="45"/>
    <x v="0"/>
    <n v="4849.6000000000004"/>
    <n v="5166.72"/>
    <s v="Returning"/>
    <n v="0.25"/>
    <s v="Credit Card"/>
    <s v="Online"/>
    <x v="13"/>
    <n v="218232.00000000003"/>
    <n v="-214036.94000000003"/>
    <n v="-51.021186824503111"/>
    <x v="4"/>
    <n v="2023"/>
  </r>
  <r>
    <n v="1051"/>
    <d v="2023-01-04T00:00:00"/>
    <s v="Eve"/>
    <x v="0"/>
    <n v="4979.3599999999997"/>
    <n v="14"/>
    <x v="3"/>
    <n v="3686.81"/>
    <n v="3710.92"/>
    <s v="New"/>
    <n v="0.1"/>
    <s v="Bank Transfer"/>
    <s v="Retail"/>
    <x v="7"/>
    <n v="51615.34"/>
    <n v="-46635.979999999996"/>
    <n v="-9.3658582629092901"/>
    <x v="5"/>
    <n v="2023"/>
  </r>
  <r>
    <n v="1055"/>
    <d v="2023-12-01T00:00:00"/>
    <s v="Charlie"/>
    <x v="1"/>
    <n v="4102.47"/>
    <n v="8"/>
    <x v="0"/>
    <n v="3513"/>
    <n v="3838.42"/>
    <s v="Returning"/>
    <n v="0.13"/>
    <s v="Bank Transfer"/>
    <s v="Online"/>
    <x v="5"/>
    <n v="28104"/>
    <n v="-24001.53"/>
    <n v="-5.8505071335073744"/>
    <x v="9"/>
    <n v="2023"/>
  </r>
  <r>
    <n v="1064"/>
    <d v="2023-05-14T00:00:00"/>
    <s v="Bob"/>
    <x v="2"/>
    <n v="5356.28"/>
    <n v="8"/>
    <x v="3"/>
    <n v="4271.99"/>
    <n v="4417.79"/>
    <s v="Returning"/>
    <n v="0.04"/>
    <s v="Cash"/>
    <s v="Online"/>
    <x v="3"/>
    <n v="34175.919999999998"/>
    <n v="-28819.64"/>
    <n v="-5.380532757809525"/>
    <x v="10"/>
    <n v="2023"/>
  </r>
  <r>
    <n v="1003"/>
    <d v="2023-04-28T00:00:00"/>
    <s v="Charlie"/>
    <x v="2"/>
    <n v="5991.8"/>
    <n v="27"/>
    <x v="0"/>
    <n v="623.32000000000005"/>
    <n v="853.66"/>
    <s v="Returning"/>
    <n v="0.04"/>
    <s v="Cash"/>
    <s v="Online"/>
    <x v="10"/>
    <n v="16829.640000000003"/>
    <n v="-10837.840000000004"/>
    <n v="-1.8087786641743722"/>
    <x v="1"/>
    <n v="2023"/>
  </r>
  <r>
    <n v="1051"/>
    <d v="2023-04-04T00:00:00"/>
    <s v="Bob"/>
    <x v="3"/>
    <n v="198.25"/>
    <n v="12"/>
    <x v="3"/>
    <n v="3544.48"/>
    <n v="3723.66"/>
    <s v="Returning"/>
    <n v="0.19"/>
    <s v="Cash"/>
    <s v="Online"/>
    <x v="12"/>
    <n v="42533.760000000002"/>
    <n v="-42335.51"/>
    <n v="-213.54607818411097"/>
    <x v="1"/>
    <n v="2023"/>
  </r>
  <r>
    <n v="1007"/>
    <d v="2023-03-03T00:00:00"/>
    <s v="Eve"/>
    <x v="1"/>
    <n v="4694.54"/>
    <n v="1"/>
    <x v="1"/>
    <n v="2543.2600000000002"/>
    <n v="2637.91"/>
    <s v="Returning"/>
    <n v="0.2"/>
    <s v="Credit Card"/>
    <s v="Online"/>
    <x v="8"/>
    <n v="2543.2600000000002"/>
    <n v="2151.2799999999997"/>
    <n v="0.45825150067951276"/>
    <x v="4"/>
    <n v="2023"/>
  </r>
  <r>
    <n v="1021"/>
    <d v="2023-07-13T00:00:00"/>
    <s v="Bob"/>
    <x v="1"/>
    <n v="9638.64"/>
    <n v="43"/>
    <x v="0"/>
    <n v="4154.3"/>
    <n v="4469.07"/>
    <s v="Returning"/>
    <n v="0.23"/>
    <s v="Cash"/>
    <s v="Retail"/>
    <x v="1"/>
    <n v="178634.9"/>
    <n v="-168996.26"/>
    <n v="-17.533205929467229"/>
    <x v="11"/>
    <n v="2023"/>
  </r>
  <r>
    <n v="1073"/>
    <d v="2023-12-01T00:00:00"/>
    <s v="David"/>
    <x v="1"/>
    <n v="5238.42"/>
    <n v="40"/>
    <x v="0"/>
    <n v="2565.3000000000002"/>
    <n v="3007.47"/>
    <s v="Returning"/>
    <n v="0.17"/>
    <s v="Credit Card"/>
    <s v="Retail"/>
    <x v="13"/>
    <n v="102612"/>
    <n v="-97373.58"/>
    <n v="-18.588349158715797"/>
    <x v="9"/>
    <n v="2023"/>
  </r>
  <r>
    <n v="1039"/>
    <d v="2023-07-22T00:00:00"/>
    <s v="Alice"/>
    <x v="3"/>
    <n v="6807.67"/>
    <n v="42"/>
    <x v="2"/>
    <n v="3120.19"/>
    <n v="3600.14"/>
    <s v="Returning"/>
    <n v="0.19"/>
    <s v="Credit Card"/>
    <s v="Retail"/>
    <x v="18"/>
    <n v="131047.98"/>
    <n v="-124240.31"/>
    <n v="-18.250048841967956"/>
    <x v="11"/>
    <n v="2023"/>
  </r>
  <r>
    <n v="1018"/>
    <d v="2023-01-26T00:00:00"/>
    <s v="Alice"/>
    <x v="3"/>
    <n v="3187.45"/>
    <n v="11"/>
    <x v="2"/>
    <n v="2414.8200000000002"/>
    <n v="2519.0700000000002"/>
    <s v="Returning"/>
    <n v="0"/>
    <s v="Cash"/>
    <s v="Online"/>
    <x v="18"/>
    <n v="26563.02"/>
    <n v="-23375.57"/>
    <n v="-7.3336271941520659"/>
    <x v="5"/>
    <n v="2023"/>
  </r>
  <r>
    <n v="1004"/>
    <d v="2023-06-22T00:00:00"/>
    <s v="Eve"/>
    <x v="2"/>
    <n v="7762.51"/>
    <n v="39"/>
    <x v="3"/>
    <n v="2416.89"/>
    <n v="2778.3999999999901"/>
    <s v="Returning"/>
    <n v="0.05"/>
    <s v="Cash"/>
    <s v="Online"/>
    <x v="6"/>
    <n v="94258.709999999992"/>
    <n v="-86496.2"/>
    <n v="-11.142813342591506"/>
    <x v="6"/>
    <n v="2023"/>
  </r>
  <r>
    <n v="1089"/>
    <d v="2023-10-27T00:00:00"/>
    <s v="David"/>
    <x v="0"/>
    <n v="7751.92"/>
    <n v="43"/>
    <x v="0"/>
    <n v="3851.45"/>
    <n v="4186.9799999999996"/>
    <s v="Returning"/>
    <n v="0.3"/>
    <s v="Credit Card"/>
    <s v="Online"/>
    <x v="11"/>
    <n v="165612.35"/>
    <n v="-157860.43"/>
    <n v="-20.364042714579096"/>
    <x v="7"/>
    <n v="2023"/>
  </r>
  <r>
    <n v="1060"/>
    <d v="2023-05-13T00:00:00"/>
    <s v="Charlie"/>
    <x v="1"/>
    <n v="5260.83"/>
    <n v="31"/>
    <x v="3"/>
    <n v="3161.4"/>
    <n v="3339.66"/>
    <s v="Returning"/>
    <n v="0.02"/>
    <s v="Bank Transfer"/>
    <s v="Online"/>
    <x v="5"/>
    <n v="98003.400000000009"/>
    <n v="-92742.57"/>
    <n v="-17.628885556081457"/>
    <x v="10"/>
    <n v="2023"/>
  </r>
  <r>
    <n v="1014"/>
    <d v="2023-11-22T00:00:00"/>
    <s v="David"/>
    <x v="1"/>
    <n v="9762.5400000000009"/>
    <n v="17"/>
    <x v="1"/>
    <n v="3184.65"/>
    <n v="3204.01"/>
    <s v="New"/>
    <n v="0.2"/>
    <s v="Bank Transfer"/>
    <s v="Online"/>
    <x v="13"/>
    <n v="54139.05"/>
    <n v="-44376.51"/>
    <n v="-4.5455905942510864"/>
    <x v="8"/>
    <n v="2023"/>
  </r>
  <r>
    <n v="1009"/>
    <d v="2023-04-28T00:00:00"/>
    <s v="Alice"/>
    <x v="0"/>
    <n v="1342.95"/>
    <n v="33"/>
    <x v="2"/>
    <n v="2278.9"/>
    <n v="2626.9"/>
    <s v="New"/>
    <n v="0.05"/>
    <s v="Credit Card"/>
    <s v="Online"/>
    <x v="15"/>
    <n v="75203.7"/>
    <n v="-73860.75"/>
    <n v="-54.998883055958892"/>
    <x v="1"/>
    <n v="2023"/>
  </r>
  <r>
    <n v="1090"/>
    <d v="2023-11-20T00:00:00"/>
    <s v="Alice"/>
    <x v="1"/>
    <n v="267.77999999999997"/>
    <n v="32"/>
    <x v="3"/>
    <n v="2678.99"/>
    <n v="3152.2799999999902"/>
    <s v="Returning"/>
    <n v="0.22"/>
    <s v="Cash"/>
    <s v="Retail"/>
    <x v="17"/>
    <n v="85727.679999999993"/>
    <n v="-85459.9"/>
    <n v="-319.14220628874449"/>
    <x v="8"/>
    <n v="2023"/>
  </r>
  <r>
    <n v="1053"/>
    <d v="2023-10-02T00:00:00"/>
    <s v="David"/>
    <x v="3"/>
    <n v="7724.57"/>
    <n v="29"/>
    <x v="3"/>
    <n v="3741.3"/>
    <n v="4061.04"/>
    <s v="Returning"/>
    <n v="0.21"/>
    <s v="Credit Card"/>
    <s v="Online"/>
    <x v="16"/>
    <n v="108497.70000000001"/>
    <n v="-100773.13"/>
    <n v="-13.045791545678272"/>
    <x v="7"/>
    <n v="2023"/>
  </r>
  <r>
    <n v="1002"/>
    <d v="2023-07-31T00:00:00"/>
    <s v="David"/>
    <x v="3"/>
    <n v="8090.84"/>
    <n v="21"/>
    <x v="2"/>
    <n v="4138.41"/>
    <n v="4361.7"/>
    <s v="Returning"/>
    <n v="7.0000000000000007E-2"/>
    <s v="Credit Card"/>
    <s v="Retail"/>
    <x v="16"/>
    <n v="86906.61"/>
    <n v="-78815.77"/>
    <n v="-9.7413581284514343"/>
    <x v="11"/>
    <n v="2023"/>
  </r>
  <r>
    <n v="1084"/>
    <d v="2023-08-13T00:00:00"/>
    <s v="Alice"/>
    <x v="1"/>
    <n v="1290.05"/>
    <n v="21"/>
    <x v="0"/>
    <n v="3497.98"/>
    <n v="3765.31"/>
    <s v="New"/>
    <n v="0.08"/>
    <s v="Cash"/>
    <s v="Online"/>
    <x v="17"/>
    <n v="73457.58"/>
    <n v="-72167.53"/>
    <n v="-55.941653424285882"/>
    <x v="3"/>
    <n v="2023"/>
  </r>
  <r>
    <n v="1092"/>
    <d v="2023-01-20T00:00:00"/>
    <s v="Charlie"/>
    <x v="3"/>
    <n v="2729.27"/>
    <n v="40"/>
    <x v="3"/>
    <n v="4624.16"/>
    <n v="4731.9799999999996"/>
    <s v="New"/>
    <n v="0.2"/>
    <s v="Bank Transfer"/>
    <s v="Retail"/>
    <x v="4"/>
    <n v="184966.39999999999"/>
    <n v="-182237.13"/>
    <n v="-66.771382091181891"/>
    <x v="5"/>
    <n v="2023"/>
  </r>
  <r>
    <n v="1060"/>
    <d v="2023-04-23T00:00:00"/>
    <s v="Eve"/>
    <x v="3"/>
    <n v="273.77"/>
    <n v="23"/>
    <x v="2"/>
    <n v="4110.6000000000004"/>
    <n v="4488.37"/>
    <s v="New"/>
    <n v="0.12"/>
    <s v="Credit Card"/>
    <s v="Online"/>
    <x v="14"/>
    <n v="94543.8"/>
    <n v="-94270.03"/>
    <n v="-344.34024911422"/>
    <x v="1"/>
    <n v="2023"/>
  </r>
  <r>
    <n v="1071"/>
    <d v="2023-05-20T00:00:00"/>
    <s v="Eve"/>
    <x v="1"/>
    <n v="3003.76"/>
    <n v="6"/>
    <x v="0"/>
    <n v="2831.23"/>
    <n v="3206.98"/>
    <s v="Returning"/>
    <n v="0.06"/>
    <s v="Bank Transfer"/>
    <s v="Retail"/>
    <x v="8"/>
    <n v="16987.38"/>
    <n v="-13983.62"/>
    <n v="-4.6553719338429165"/>
    <x v="10"/>
    <n v="2023"/>
  </r>
  <r>
    <n v="1044"/>
    <d v="2023-02-16T00:00:00"/>
    <s v="David"/>
    <x v="2"/>
    <n v="7754.1"/>
    <n v="22"/>
    <x v="1"/>
    <n v="3373.46"/>
    <n v="3454.76"/>
    <s v="Returning"/>
    <n v="0.22"/>
    <s v="Bank Transfer"/>
    <s v="Retail"/>
    <x v="2"/>
    <n v="74216.12"/>
    <n v="-66462.01999999999"/>
    <n v="-8.5712100695116114"/>
    <x v="0"/>
    <n v="2023"/>
  </r>
  <r>
    <n v="1008"/>
    <d v="2023-01-01T00:00:00"/>
    <s v="Eve"/>
    <x v="0"/>
    <n v="5227.8100000000004"/>
    <n v="38"/>
    <x v="2"/>
    <n v="4635.2299999999996"/>
    <n v="5075.4399999999996"/>
    <s v="Returning"/>
    <n v="0.05"/>
    <s v="Cash"/>
    <s v="Online"/>
    <x v="7"/>
    <n v="176138.74"/>
    <n v="-170910.93"/>
    <n v="-32.692643764788691"/>
    <x v="5"/>
    <n v="2023"/>
  </r>
  <r>
    <n v="1047"/>
    <d v="2023-03-31T00:00:00"/>
    <s v="Alice"/>
    <x v="3"/>
    <n v="3546.15"/>
    <n v="37"/>
    <x v="3"/>
    <n v="3114.88"/>
    <n v="3256.78"/>
    <s v="Returning"/>
    <n v="0.26"/>
    <s v="Credit Card"/>
    <s v="Online"/>
    <x v="18"/>
    <n v="115250.56"/>
    <n v="-111704.41"/>
    <n v="-31.500193167237708"/>
    <x v="4"/>
    <n v="2023"/>
  </r>
  <r>
    <n v="1035"/>
    <d v="2023-05-22T00:00:00"/>
    <s v="Alice"/>
    <x v="2"/>
    <n v="3780.22"/>
    <n v="45"/>
    <x v="1"/>
    <n v="4132.79"/>
    <n v="4624.1000000000004"/>
    <s v="New"/>
    <n v="0.15"/>
    <s v="Credit Card"/>
    <s v="Retail"/>
    <x v="9"/>
    <n v="185975.55"/>
    <n v="-182195.33"/>
    <n v="-48.197017633894326"/>
    <x v="10"/>
    <n v="2023"/>
  </r>
  <r>
    <n v="1078"/>
    <d v="2023-11-16T00:00:00"/>
    <s v="David"/>
    <x v="3"/>
    <n v="113.4"/>
    <n v="8"/>
    <x v="0"/>
    <n v="3459.61"/>
    <n v="3657.23"/>
    <s v="Returning"/>
    <n v="0.03"/>
    <s v="Bank Transfer"/>
    <s v="Online"/>
    <x v="16"/>
    <n v="27676.880000000001"/>
    <n v="-27563.48"/>
    <n v="-243.06419753086419"/>
    <x v="8"/>
    <n v="2023"/>
  </r>
  <r>
    <n v="1081"/>
    <d v="2023-02-07T00:00:00"/>
    <s v="David"/>
    <x v="3"/>
    <n v="3068.03"/>
    <n v="41"/>
    <x v="0"/>
    <n v="2782.08"/>
    <n v="2879.24"/>
    <s v="New"/>
    <n v="0.21"/>
    <s v="Bank Transfer"/>
    <s v="Online"/>
    <x v="16"/>
    <n v="114065.28"/>
    <n v="-110997.25"/>
    <n v="-36.178671655753035"/>
    <x v="0"/>
    <n v="2023"/>
  </r>
  <r>
    <n v="1036"/>
    <d v="2023-10-20T00:00:00"/>
    <s v="David"/>
    <x v="0"/>
    <n v="6499.94"/>
    <n v="49"/>
    <x v="2"/>
    <n v="1247.0999999999999"/>
    <n v="1429.4399999999901"/>
    <s v="New"/>
    <n v="0.16"/>
    <s v="Cash"/>
    <s v="Online"/>
    <x v="11"/>
    <n v="61107.899999999994"/>
    <n v="-54607.959999999992"/>
    <n v="-8.4013021658661451"/>
    <x v="7"/>
    <n v="2023"/>
  </r>
  <r>
    <n v="1050"/>
    <d v="2023-05-19T00:00:00"/>
    <s v="Charlie"/>
    <x v="3"/>
    <n v="9744.52"/>
    <n v="35"/>
    <x v="2"/>
    <n v="2158.69"/>
    <n v="2384.38"/>
    <s v="Returning"/>
    <n v="0.09"/>
    <s v="Bank Transfer"/>
    <s v="Retail"/>
    <x v="4"/>
    <n v="75554.150000000009"/>
    <n v="-65809.63"/>
    <n v="-6.7535014551768588"/>
    <x v="10"/>
    <n v="2023"/>
  </r>
  <r>
    <n v="1004"/>
    <d v="2023-12-22T00:00:00"/>
    <s v="Eve"/>
    <x v="0"/>
    <n v="8485.9"/>
    <n v="11"/>
    <x v="2"/>
    <n v="4840.33"/>
    <n v="4884.29"/>
    <s v="New"/>
    <n v="0.13"/>
    <s v="Cash"/>
    <s v="Online"/>
    <x v="7"/>
    <n v="53243.63"/>
    <n v="-44757.729999999996"/>
    <n v="-5.2743645341095222"/>
    <x v="9"/>
    <n v="2023"/>
  </r>
  <r>
    <n v="1002"/>
    <d v="2023-11-29T00:00:00"/>
    <s v="David"/>
    <x v="0"/>
    <n v="333.59"/>
    <n v="24"/>
    <x v="0"/>
    <n v="3305.94"/>
    <n v="3599.27"/>
    <s v="New"/>
    <n v="0.09"/>
    <s v="Credit Card"/>
    <s v="Retail"/>
    <x v="11"/>
    <n v="79342.559999999998"/>
    <n v="-79008.97"/>
    <n v="-236.8445397044276"/>
    <x v="8"/>
    <n v="2023"/>
  </r>
  <r>
    <n v="1006"/>
    <d v="2023-09-16T00:00:00"/>
    <s v="Bob"/>
    <x v="0"/>
    <n v="8995.75"/>
    <n v="49"/>
    <x v="1"/>
    <n v="2843.76"/>
    <n v="3146.6"/>
    <s v="New"/>
    <n v="0.08"/>
    <s v="Cash"/>
    <s v="Retail"/>
    <x v="0"/>
    <n v="139344.24000000002"/>
    <n v="-130348.49000000002"/>
    <n v="-14.490008059361367"/>
    <x v="2"/>
    <n v="2023"/>
  </r>
  <r>
    <n v="1054"/>
    <d v="2023-06-10T00:00:00"/>
    <s v="Bob"/>
    <x v="2"/>
    <n v="7853.66"/>
    <n v="21"/>
    <x v="0"/>
    <n v="4668.1400000000003"/>
    <n v="5040.22"/>
    <s v="New"/>
    <n v="0.05"/>
    <s v="Bank Transfer"/>
    <s v="Online"/>
    <x v="3"/>
    <n v="98030.94"/>
    <n v="-90177.279999999999"/>
    <n v="-11.482198108907184"/>
    <x v="6"/>
    <n v="2023"/>
  </r>
  <r>
    <n v="1004"/>
    <d v="2023-06-27T00:00:00"/>
    <s v="Alice"/>
    <x v="1"/>
    <n v="7825.72"/>
    <n v="2"/>
    <x v="3"/>
    <n v="2953.23"/>
    <n v="2977.52"/>
    <s v="Returning"/>
    <n v="0.11"/>
    <s v="Credit Card"/>
    <s v="Retail"/>
    <x v="17"/>
    <n v="5906.46"/>
    <n v="1919.2600000000002"/>
    <n v="0.24525027729077967"/>
    <x v="6"/>
    <n v="2023"/>
  </r>
  <r>
    <n v="1054"/>
    <d v="2023-01-10T00:00:00"/>
    <s v="Eve"/>
    <x v="2"/>
    <n v="4634.16"/>
    <n v="40"/>
    <x v="0"/>
    <n v="2654.11"/>
    <n v="2929.32"/>
    <s v="Returning"/>
    <n v="0.08"/>
    <s v="Cash"/>
    <s v="Online"/>
    <x v="6"/>
    <n v="106164.40000000001"/>
    <n v="-101530.24000000001"/>
    <n v="-21.909092478464277"/>
    <x v="5"/>
    <n v="2023"/>
  </r>
  <r>
    <n v="1093"/>
    <d v="2023-09-18T00:00:00"/>
    <s v="David"/>
    <x v="1"/>
    <n v="4040.25"/>
    <n v="19"/>
    <x v="3"/>
    <n v="3808.59"/>
    <n v="3844.51"/>
    <s v="New"/>
    <n v="0.21"/>
    <s v="Credit Card"/>
    <s v="Online"/>
    <x v="13"/>
    <n v="72363.210000000006"/>
    <n v="-68322.960000000006"/>
    <n v="-16.910577315760165"/>
    <x v="2"/>
    <n v="2023"/>
  </r>
  <r>
    <n v="1063"/>
    <d v="2023-05-18T00:00:00"/>
    <s v="Bob"/>
    <x v="1"/>
    <n v="3098.87"/>
    <n v="39"/>
    <x v="1"/>
    <n v="3577.69"/>
    <n v="3931.25"/>
    <s v="Returning"/>
    <n v="0.21"/>
    <s v="Cash"/>
    <s v="Retail"/>
    <x v="1"/>
    <n v="139529.91"/>
    <n v="-136431.04000000001"/>
    <n v="-44.026061112599116"/>
    <x v="10"/>
    <n v="2023"/>
  </r>
  <r>
    <n v="1018"/>
    <d v="2023-06-21T00:00:00"/>
    <s v="Eve"/>
    <x v="0"/>
    <n v="750.38"/>
    <n v="28"/>
    <x v="2"/>
    <n v="1006.14"/>
    <n v="1043.45"/>
    <s v="New"/>
    <n v="0.15"/>
    <s v="Bank Transfer"/>
    <s v="Retail"/>
    <x v="7"/>
    <n v="28171.919999999998"/>
    <n v="-27421.539999999997"/>
    <n v="-36.543537940776673"/>
    <x v="6"/>
    <n v="2023"/>
  </r>
  <r>
    <n v="1090"/>
    <d v="2023-01-13T00:00:00"/>
    <s v="Alice"/>
    <x v="3"/>
    <n v="2359.5300000000002"/>
    <n v="17"/>
    <x v="2"/>
    <n v="2382.98"/>
    <n v="2839.73"/>
    <s v="Returning"/>
    <n v="0.23"/>
    <s v="Bank Transfer"/>
    <s v="Retail"/>
    <x v="18"/>
    <n v="40510.660000000003"/>
    <n v="-38151.130000000005"/>
    <n v="-16.168953138972594"/>
    <x v="5"/>
    <n v="2023"/>
  </r>
  <r>
    <n v="1044"/>
    <d v="2023-06-17T00:00:00"/>
    <s v="Charlie"/>
    <x v="0"/>
    <n v="2541.38"/>
    <n v="6"/>
    <x v="0"/>
    <n v="2388.9499999999998"/>
    <n v="2742.97"/>
    <s v="Returning"/>
    <n v="0.25"/>
    <s v="Credit Card"/>
    <s v="Retail"/>
    <x v="19"/>
    <n v="14333.699999999999"/>
    <n v="-11792.32"/>
    <n v="-4.6401246566825893"/>
    <x v="6"/>
    <n v="2023"/>
  </r>
  <r>
    <n v="1034"/>
    <d v="2023-05-10T00:00:00"/>
    <s v="Eve"/>
    <x v="3"/>
    <n v="4892.3599999999997"/>
    <n v="19"/>
    <x v="2"/>
    <n v="1922.21"/>
    <n v="2180.83"/>
    <s v="Returning"/>
    <n v="0.17"/>
    <s v="Credit Card"/>
    <s v="Retail"/>
    <x v="14"/>
    <n v="36521.99"/>
    <n v="-31629.629999999997"/>
    <n v="-6.46510681961262"/>
    <x v="10"/>
    <n v="2023"/>
  </r>
  <r>
    <n v="1074"/>
    <d v="2023-03-25T00:00:00"/>
    <s v="Eve"/>
    <x v="1"/>
    <n v="7499.7"/>
    <n v="38"/>
    <x v="1"/>
    <n v="2610.6"/>
    <n v="2836.94"/>
    <s v="Returning"/>
    <n v="0.19"/>
    <s v="Credit Card"/>
    <s v="Online"/>
    <x v="8"/>
    <n v="99202.8"/>
    <n v="-91703.1"/>
    <n v="-12.227569102764111"/>
    <x v="4"/>
    <n v="2023"/>
  </r>
  <r>
    <n v="1062"/>
    <d v="2023-11-17T00:00:00"/>
    <s v="Charlie"/>
    <x v="0"/>
    <n v="4790.72"/>
    <n v="28"/>
    <x v="2"/>
    <n v="2094.88"/>
    <n v="2168.91"/>
    <s v="Returning"/>
    <n v="0.08"/>
    <s v="Cash"/>
    <s v="Retail"/>
    <x v="19"/>
    <n v="58656.639999999999"/>
    <n v="-53865.919999999998"/>
    <n v="-11.243804689065525"/>
    <x v="8"/>
    <n v="2023"/>
  </r>
  <r>
    <n v="1100"/>
    <d v="2023-11-15T00:00:00"/>
    <s v="Eve"/>
    <x v="3"/>
    <n v="672.66"/>
    <n v="2"/>
    <x v="0"/>
    <n v="1036.76"/>
    <n v="1189.3499999999999"/>
    <s v="New"/>
    <n v="0.27"/>
    <s v="Bank Transfer"/>
    <s v="Online"/>
    <x v="14"/>
    <n v="2073.52"/>
    <n v="-1400.8600000000001"/>
    <n v="-2.0825677162310829"/>
    <x v="8"/>
    <n v="2023"/>
  </r>
  <r>
    <n v="1014"/>
    <d v="2023-04-11T00:00:00"/>
    <s v="Alice"/>
    <x v="2"/>
    <n v="9582.1200000000008"/>
    <n v="38"/>
    <x v="1"/>
    <n v="2091.21"/>
    <n v="2527"/>
    <s v="Returning"/>
    <n v="0.01"/>
    <s v="Credit Card"/>
    <s v="Online"/>
    <x v="9"/>
    <n v="79465.98"/>
    <n v="-69883.86"/>
    <n v="-7.2931522460582832"/>
    <x v="1"/>
    <n v="2023"/>
  </r>
  <r>
    <n v="1095"/>
    <d v="2023-11-25T00:00:00"/>
    <s v="Alice"/>
    <x v="3"/>
    <n v="9432.9699999999993"/>
    <n v="37"/>
    <x v="3"/>
    <n v="407.77"/>
    <n v="860.95"/>
    <s v="New"/>
    <n v="0.1"/>
    <s v="Credit Card"/>
    <s v="Retail"/>
    <x v="18"/>
    <n v="15087.49"/>
    <n v="-5654.52"/>
    <n v="-0.59944216932736993"/>
    <x v="8"/>
    <n v="2023"/>
  </r>
  <r>
    <n v="1048"/>
    <d v="2023-09-30T00:00:00"/>
    <s v="Charlie"/>
    <x v="0"/>
    <n v="7873.38"/>
    <n v="4"/>
    <x v="0"/>
    <n v="2900.14"/>
    <n v="2910.5099999999902"/>
    <s v="New"/>
    <n v="0.22"/>
    <s v="Credit Card"/>
    <s v="Retail"/>
    <x v="19"/>
    <n v="11600.56"/>
    <n v="-3727.1799999999994"/>
    <n v="-0.47339008151518147"/>
    <x v="2"/>
    <n v="2023"/>
  </r>
  <r>
    <n v="1015"/>
    <d v="2023-09-22T00:00:00"/>
    <s v="David"/>
    <x v="2"/>
    <n v="9914.15"/>
    <n v="22"/>
    <x v="3"/>
    <n v="4275.59"/>
    <n v="4576.72"/>
    <s v="Returning"/>
    <n v="0.02"/>
    <s v="Cash"/>
    <s v="Retail"/>
    <x v="2"/>
    <n v="94062.98000000001"/>
    <n v="-84148.830000000016"/>
    <n v="-8.4877503366400564"/>
    <x v="2"/>
    <n v="2023"/>
  </r>
  <r>
    <n v="1072"/>
    <d v="2023-02-07T00:00:00"/>
    <s v="Bob"/>
    <x v="3"/>
    <n v="5490.38"/>
    <n v="26"/>
    <x v="1"/>
    <n v="3640.17"/>
    <n v="4002.63"/>
    <s v="New"/>
    <n v="0.05"/>
    <s v="Credit Card"/>
    <s v="Retail"/>
    <x v="12"/>
    <n v="94644.42"/>
    <n v="-89154.04"/>
    <n v="-16.238227590804279"/>
    <x v="0"/>
    <n v="2023"/>
  </r>
  <r>
    <n v="1078"/>
    <d v="2023-04-04T00:00:00"/>
    <s v="David"/>
    <x v="3"/>
    <n v="9631.41"/>
    <n v="49"/>
    <x v="0"/>
    <n v="1833.95"/>
    <n v="2147.14"/>
    <s v="Returning"/>
    <n v="0.18"/>
    <s v="Credit Card"/>
    <s v="Retail"/>
    <x v="16"/>
    <n v="89863.55"/>
    <n v="-80232.14"/>
    <n v="-8.3302590171117217"/>
    <x v="1"/>
    <n v="2023"/>
  </r>
  <r>
    <n v="1087"/>
    <d v="2023-04-05T00:00:00"/>
    <s v="Eve"/>
    <x v="3"/>
    <n v="848.49"/>
    <n v="43"/>
    <x v="0"/>
    <n v="481"/>
    <n v="531.02"/>
    <s v="New"/>
    <n v="0.17"/>
    <s v="Cash"/>
    <s v="Online"/>
    <x v="14"/>
    <n v="20683"/>
    <n v="-19834.509999999998"/>
    <n v="-23.376244858513356"/>
    <x v="1"/>
    <n v="2023"/>
  </r>
  <r>
    <n v="1062"/>
    <d v="2023-11-01T00:00:00"/>
    <s v="Bob"/>
    <x v="3"/>
    <n v="3720.24"/>
    <n v="36"/>
    <x v="1"/>
    <n v="1050.6400000000001"/>
    <n v="1167.33"/>
    <s v="New"/>
    <n v="0.22"/>
    <s v="Cash"/>
    <s v="Online"/>
    <x v="12"/>
    <n v="37823.040000000001"/>
    <n v="-34102.800000000003"/>
    <n v="-9.1668279465840925"/>
    <x v="8"/>
    <n v="2023"/>
  </r>
  <r>
    <n v="1040"/>
    <d v="2023-03-10T00:00:00"/>
    <s v="Charlie"/>
    <x v="3"/>
    <n v="2331.27"/>
    <n v="13"/>
    <x v="2"/>
    <n v="2750.18"/>
    <n v="2882.85"/>
    <s v="Returning"/>
    <n v="0.24"/>
    <s v="Credit Card"/>
    <s v="Online"/>
    <x v="4"/>
    <n v="35752.339999999997"/>
    <n v="-33421.07"/>
    <n v="-14.335992827943567"/>
    <x v="4"/>
    <n v="2023"/>
  </r>
  <r>
    <n v="1085"/>
    <d v="2023-11-14T00:00:00"/>
    <s v="Charlie"/>
    <x v="2"/>
    <n v="2038.75"/>
    <n v="32"/>
    <x v="0"/>
    <n v="1074.93"/>
    <n v="1492.48"/>
    <s v="Returning"/>
    <n v="0.04"/>
    <s v="Credit Card"/>
    <s v="Retail"/>
    <x v="10"/>
    <n v="34397.760000000002"/>
    <n v="-32359.010000000002"/>
    <n v="-15.871985285101166"/>
    <x v="8"/>
    <n v="2023"/>
  </r>
  <r>
    <n v="1080"/>
    <d v="2023-08-24T00:00:00"/>
    <s v="Bob"/>
    <x v="1"/>
    <n v="1493.95"/>
    <n v="17"/>
    <x v="0"/>
    <n v="2742.67"/>
    <n v="2979.64"/>
    <s v="Returning"/>
    <n v="0.01"/>
    <s v="Cash"/>
    <s v="Retail"/>
    <x v="1"/>
    <n v="46625.39"/>
    <n v="-45131.44"/>
    <n v="-30.209471535191941"/>
    <x v="3"/>
    <n v="2023"/>
  </r>
  <r>
    <n v="1082"/>
    <d v="2023-11-30T00:00:00"/>
    <s v="Alice"/>
    <x v="2"/>
    <n v="6261.9"/>
    <n v="41"/>
    <x v="3"/>
    <n v="1196.42"/>
    <n v="1444.97"/>
    <s v="Returning"/>
    <n v="0.21"/>
    <s v="Bank Transfer"/>
    <s v="Online"/>
    <x v="9"/>
    <n v="49053.22"/>
    <n v="-42791.32"/>
    <n v="-6.8336000255513509"/>
    <x v="8"/>
    <n v="2023"/>
  </r>
  <r>
    <n v="1053"/>
    <d v="2023-05-17T00:00:00"/>
    <s v="Bob"/>
    <x v="2"/>
    <n v="7835.09"/>
    <n v="36"/>
    <x v="2"/>
    <n v="4252.17"/>
    <n v="4720.2700000000004"/>
    <s v="New"/>
    <n v="0.09"/>
    <s v="Cash"/>
    <s v="Retail"/>
    <x v="3"/>
    <n v="153078.12"/>
    <n v="-145243.03"/>
    <n v="-18.537506269870544"/>
    <x v="10"/>
    <n v="2023"/>
  </r>
  <r>
    <n v="1024"/>
    <d v="2023-03-17T00:00:00"/>
    <s v="Eve"/>
    <x v="2"/>
    <n v="5825.15"/>
    <n v="46"/>
    <x v="3"/>
    <n v="2016.49"/>
    <n v="2338.66"/>
    <s v="Returning"/>
    <n v="0.19"/>
    <s v="Bank Transfer"/>
    <s v="Retail"/>
    <x v="6"/>
    <n v="92758.54"/>
    <n v="-86933.39"/>
    <n v="-14.923802820528227"/>
    <x v="4"/>
    <n v="2023"/>
  </r>
  <r>
    <n v="1026"/>
    <d v="2023-02-04T00:00:00"/>
    <s v="Alice"/>
    <x v="1"/>
    <n v="1554.93"/>
    <n v="19"/>
    <x v="3"/>
    <n v="1265.48"/>
    <n v="1715.83"/>
    <s v="New"/>
    <n v="0.05"/>
    <s v="Credit Card"/>
    <s v="Retail"/>
    <x v="17"/>
    <n v="24044.12"/>
    <n v="-22489.19"/>
    <n v="-14.463152682114305"/>
    <x v="0"/>
    <n v="2023"/>
  </r>
  <r>
    <n v="1089"/>
    <d v="2023-01-01T00:00:00"/>
    <s v="Charlie"/>
    <x v="0"/>
    <n v="8130.13"/>
    <n v="35"/>
    <x v="2"/>
    <n v="4071.01"/>
    <n v="4304.7"/>
    <s v="New"/>
    <n v="0.14000000000000001"/>
    <s v="Credit Card"/>
    <s v="Online"/>
    <x v="19"/>
    <n v="142485.35"/>
    <n v="-134355.22"/>
    <n v="-16.5255930716975"/>
    <x v="5"/>
    <n v="2023"/>
  </r>
  <r>
    <n v="1060"/>
    <d v="2023-10-23T00:00:00"/>
    <s v="Bob"/>
    <x v="1"/>
    <n v="6395.95"/>
    <n v="46"/>
    <x v="2"/>
    <n v="1747.05"/>
    <n v="1830.27"/>
    <s v="New"/>
    <n v="0.15"/>
    <s v="Bank Transfer"/>
    <s v="Retail"/>
    <x v="1"/>
    <n v="80364.3"/>
    <n v="-73968.350000000006"/>
    <n v="-11.56487308374831"/>
    <x v="7"/>
    <n v="2023"/>
  </r>
  <r>
    <n v="1041"/>
    <d v="2023-11-16T00:00:00"/>
    <s v="David"/>
    <x v="2"/>
    <n v="3942.84"/>
    <n v="40"/>
    <x v="1"/>
    <n v="601.86"/>
    <n v="1067.53"/>
    <s v="New"/>
    <n v="0.18"/>
    <s v="Cash"/>
    <s v="Online"/>
    <x v="2"/>
    <n v="24074.400000000001"/>
    <n v="-20131.560000000001"/>
    <n v="-5.1058526341418879"/>
    <x v="8"/>
    <n v="2023"/>
  </r>
  <r>
    <n v="1029"/>
    <d v="2023-03-01T00:00:00"/>
    <s v="David"/>
    <x v="3"/>
    <n v="6773.89"/>
    <n v="28"/>
    <x v="2"/>
    <n v="2873.53"/>
    <n v="3108.3"/>
    <s v="New"/>
    <n v="0.15"/>
    <s v="Credit Card"/>
    <s v="Retail"/>
    <x v="16"/>
    <n v="80458.840000000011"/>
    <n v="-73684.950000000012"/>
    <n v="-10.87778957142794"/>
    <x v="4"/>
    <n v="2023"/>
  </r>
  <r>
    <n v="1015"/>
    <d v="2023-11-16T00:00:00"/>
    <s v="Eve"/>
    <x v="3"/>
    <n v="2673.06"/>
    <n v="1"/>
    <x v="0"/>
    <n v="2928.74"/>
    <n v="3027.74"/>
    <s v="New"/>
    <n v="0.15"/>
    <s v="Bank Transfer"/>
    <s v="Retail"/>
    <x v="14"/>
    <n v="2928.74"/>
    <n v="-255.67999999999984"/>
    <n v="-9.5650677500692033E-2"/>
    <x v="8"/>
    <n v="2023"/>
  </r>
  <r>
    <n v="1045"/>
    <d v="2023-12-15T00:00:00"/>
    <s v="David"/>
    <x v="2"/>
    <n v="3517.4"/>
    <n v="42"/>
    <x v="2"/>
    <n v="3587.74"/>
    <n v="3745.91"/>
    <s v="Returning"/>
    <n v="0.1"/>
    <s v="Cash"/>
    <s v="Online"/>
    <x v="2"/>
    <n v="150685.07999999999"/>
    <n v="-147167.67999999999"/>
    <n v="-41.83990447489623"/>
    <x v="9"/>
    <n v="2023"/>
  </r>
  <r>
    <n v="1065"/>
    <d v="2023-11-24T00:00:00"/>
    <s v="Bob"/>
    <x v="3"/>
    <n v="9183.11"/>
    <n v="18"/>
    <x v="1"/>
    <n v="1239.0899999999999"/>
    <n v="1273.98"/>
    <s v="New"/>
    <n v="0.02"/>
    <s v="Bank Transfer"/>
    <s v="Retail"/>
    <x v="12"/>
    <n v="22303.62"/>
    <n v="-13120.509999999998"/>
    <n v="-1.4287654182515508"/>
    <x v="8"/>
    <n v="2023"/>
  </r>
  <r>
    <n v="1089"/>
    <d v="2023-09-24T00:00:00"/>
    <s v="Bob"/>
    <x v="2"/>
    <n v="2975.99"/>
    <n v="48"/>
    <x v="1"/>
    <n v="2246.67"/>
    <n v="2486.14"/>
    <s v="New"/>
    <n v="0.03"/>
    <s v="Cash"/>
    <s v="Retail"/>
    <x v="3"/>
    <n v="107840.16"/>
    <n v="-104864.17"/>
    <n v="-35.236734666447134"/>
    <x v="2"/>
    <n v="2023"/>
  </r>
  <r>
    <n v="1071"/>
    <d v="2023-12-27T00:00:00"/>
    <s v="David"/>
    <x v="3"/>
    <n v="4752.88"/>
    <n v="40"/>
    <x v="1"/>
    <n v="1447.72"/>
    <n v="1875.75"/>
    <s v="New"/>
    <n v="0.13"/>
    <s v="Cash"/>
    <s v="Retail"/>
    <x v="16"/>
    <n v="57908.800000000003"/>
    <n v="-53155.920000000006"/>
    <n v="-11.183939001195066"/>
    <x v="9"/>
    <n v="2023"/>
  </r>
  <r>
    <n v="1009"/>
    <d v="2023-08-17T00:00:00"/>
    <s v="Bob"/>
    <x v="1"/>
    <n v="8912.4"/>
    <n v="33"/>
    <x v="2"/>
    <n v="450.72"/>
    <n v="918.17"/>
    <s v="Returning"/>
    <n v="0.11"/>
    <s v="Cash"/>
    <s v="Online"/>
    <x v="1"/>
    <n v="14873.76"/>
    <n v="-5961.3600000000006"/>
    <n v="-0.66888380234280342"/>
    <x v="3"/>
    <n v="2023"/>
  </r>
  <r>
    <n v="1088"/>
    <d v="2023-09-27T00:00:00"/>
    <s v="Eve"/>
    <x v="0"/>
    <n v="7106.44"/>
    <n v="12"/>
    <x v="2"/>
    <n v="4389.24"/>
    <n v="4856.2199999999903"/>
    <s v="Returning"/>
    <n v="0.15"/>
    <s v="Cash"/>
    <s v="Retail"/>
    <x v="7"/>
    <n v="52670.879999999997"/>
    <n v="-45564.439999999995"/>
    <n v="-6.4117110677075999"/>
    <x v="2"/>
    <n v="2023"/>
  </r>
  <r>
    <n v="1001"/>
    <d v="2023-11-12T00:00:00"/>
    <s v="Alice"/>
    <x v="0"/>
    <n v="715.81"/>
    <n v="8"/>
    <x v="3"/>
    <n v="3657.91"/>
    <n v="3729.27"/>
    <s v="New"/>
    <n v="0.09"/>
    <s v="Bank Transfer"/>
    <s v="Retail"/>
    <x v="15"/>
    <n v="29263.279999999999"/>
    <n v="-28547.469999999998"/>
    <n v="-39.881351196546568"/>
    <x v="8"/>
    <n v="2023"/>
  </r>
  <r>
    <n v="1008"/>
    <d v="2023-10-13T00:00:00"/>
    <s v="Eve"/>
    <x v="1"/>
    <n v="1558.3"/>
    <n v="24"/>
    <x v="3"/>
    <n v="1542.24"/>
    <n v="1739.45"/>
    <s v="Returning"/>
    <n v="0.21"/>
    <s v="Bank Transfer"/>
    <s v="Retail"/>
    <x v="8"/>
    <n v="37013.760000000002"/>
    <n v="-35455.46"/>
    <n v="-22.752653532695888"/>
    <x v="7"/>
    <n v="2023"/>
  </r>
  <r>
    <n v="1088"/>
    <d v="2023-10-18T00:00:00"/>
    <s v="Eve"/>
    <x v="1"/>
    <n v="177.63"/>
    <n v="16"/>
    <x v="0"/>
    <n v="3016.9"/>
    <n v="3040.73"/>
    <s v="New"/>
    <n v="0.26"/>
    <s v="Bank Transfer"/>
    <s v="Retail"/>
    <x v="8"/>
    <n v="48270.400000000001"/>
    <n v="-48092.770000000004"/>
    <n v="-270.74688960198165"/>
    <x v="7"/>
    <n v="2023"/>
  </r>
  <r>
    <n v="1063"/>
    <d v="2023-08-01T00:00:00"/>
    <s v="Bob"/>
    <x v="2"/>
    <n v="6346.13"/>
    <n v="4"/>
    <x v="3"/>
    <n v="1046.26"/>
    <n v="1475.29"/>
    <s v="Returning"/>
    <n v="0.09"/>
    <s v="Bank Transfer"/>
    <s v="Retail"/>
    <x v="3"/>
    <n v="4185.04"/>
    <n v="2161.09"/>
    <n v="0.34053667353174299"/>
    <x v="3"/>
    <n v="2023"/>
  </r>
  <r>
    <n v="1011"/>
    <d v="2023-06-14T00:00:00"/>
    <s v="Alice"/>
    <x v="2"/>
    <n v="4531.97"/>
    <n v="38"/>
    <x v="0"/>
    <n v="4456.67"/>
    <n v="4642.46"/>
    <s v="New"/>
    <n v="0.06"/>
    <s v="Bank Transfer"/>
    <s v="Online"/>
    <x v="9"/>
    <n v="169353.46"/>
    <n v="-164821.49"/>
    <n v="-36.368618944962122"/>
    <x v="6"/>
    <n v="2023"/>
  </r>
  <r>
    <n v="1081"/>
    <d v="2023-01-05T00:00:00"/>
    <s v="Bob"/>
    <x v="2"/>
    <n v="1429.32"/>
    <n v="44"/>
    <x v="1"/>
    <n v="618.79"/>
    <n v="938.04"/>
    <s v="Returning"/>
    <n v="0.03"/>
    <s v="Cash"/>
    <s v="Online"/>
    <x v="3"/>
    <n v="27226.76"/>
    <n v="-25797.439999999999"/>
    <n v="-18.048750454761706"/>
    <x v="5"/>
    <n v="2023"/>
  </r>
  <r>
    <n v="1008"/>
    <d v="2023-12-05T00:00:00"/>
    <s v="Charlie"/>
    <x v="3"/>
    <n v="9583.5499999999993"/>
    <n v="27"/>
    <x v="3"/>
    <n v="68.989999999999995"/>
    <n v="429.29"/>
    <s v="Returning"/>
    <n v="0.18"/>
    <s v="Credit Card"/>
    <s v="Retail"/>
    <x v="4"/>
    <n v="1862.7299999999998"/>
    <n v="7720.82"/>
    <n v="0.80563256830715135"/>
    <x v="9"/>
    <n v="2023"/>
  </r>
  <r>
    <n v="1035"/>
    <d v="2023-03-19T00:00:00"/>
    <s v="Bob"/>
    <x v="2"/>
    <n v="5343.63"/>
    <n v="9"/>
    <x v="2"/>
    <n v="2534.94"/>
    <n v="2755.56"/>
    <s v="Returning"/>
    <n v="0.13"/>
    <s v="Credit Card"/>
    <s v="Retail"/>
    <x v="3"/>
    <n v="22814.46"/>
    <n v="-17470.829999999998"/>
    <n v="-3.2694685073629719"/>
    <x v="4"/>
    <n v="2023"/>
  </r>
  <r>
    <n v="1035"/>
    <d v="2023-03-03T00:00:00"/>
    <s v="Bob"/>
    <x v="1"/>
    <n v="2494.7399999999998"/>
    <n v="47"/>
    <x v="3"/>
    <n v="2936.48"/>
    <n v="3096.64"/>
    <s v="New"/>
    <n v="0.06"/>
    <s v="Bank Transfer"/>
    <s v="Online"/>
    <x v="1"/>
    <n v="138014.56"/>
    <n v="-135519.82"/>
    <n v="-54.32222195499331"/>
    <x v="4"/>
    <n v="2023"/>
  </r>
  <r>
    <n v="1033"/>
    <d v="2023-05-12T00:00:00"/>
    <s v="Bob"/>
    <x v="0"/>
    <n v="5055.9799999999996"/>
    <n v="16"/>
    <x v="0"/>
    <n v="2915.88"/>
    <n v="3397.36"/>
    <s v="New"/>
    <n v="0.2"/>
    <s v="Bank Transfer"/>
    <s v="Retail"/>
    <x v="0"/>
    <n v="46654.080000000002"/>
    <n v="-41598.100000000006"/>
    <n v="-8.2275048556362975"/>
    <x v="10"/>
    <n v="2023"/>
  </r>
  <r>
    <n v="1005"/>
    <d v="2023-03-30T00:00:00"/>
    <s v="Alice"/>
    <x v="3"/>
    <n v="6828.24"/>
    <n v="12"/>
    <x v="3"/>
    <n v="319.83"/>
    <n v="802.43"/>
    <s v="New"/>
    <n v="0.04"/>
    <s v="Credit Card"/>
    <s v="Retail"/>
    <x v="18"/>
    <n v="3837.96"/>
    <n v="2990.2799999999997"/>
    <n v="0.43792836807142099"/>
    <x v="4"/>
    <n v="2023"/>
  </r>
  <r>
    <n v="1041"/>
    <d v="2023-08-25T00:00:00"/>
    <s v="Bob"/>
    <x v="2"/>
    <n v="854.77"/>
    <n v="31"/>
    <x v="1"/>
    <n v="1604.52"/>
    <n v="1756.34"/>
    <s v="Returning"/>
    <n v="0.17"/>
    <s v="Cash"/>
    <s v="Retail"/>
    <x v="3"/>
    <n v="49740.12"/>
    <n v="-48885.350000000006"/>
    <n v="-57.191232729272208"/>
    <x v="3"/>
    <n v="2023"/>
  </r>
  <r>
    <n v="1028"/>
    <d v="2023-02-11T00:00:00"/>
    <s v="Alice"/>
    <x v="3"/>
    <n v="2819.57"/>
    <n v="24"/>
    <x v="2"/>
    <n v="2521.0300000000002"/>
    <n v="2766.05"/>
    <s v="Returning"/>
    <n v="0.16"/>
    <s v="Bank Transfer"/>
    <s v="Retail"/>
    <x v="18"/>
    <n v="60504.72"/>
    <n v="-57685.15"/>
    <n v="-20.458846561709763"/>
    <x v="0"/>
    <n v="2023"/>
  </r>
  <r>
    <n v="1007"/>
    <d v="2023-03-30T00:00:00"/>
    <s v="David"/>
    <x v="3"/>
    <n v="8088.96"/>
    <n v="14"/>
    <x v="0"/>
    <n v="1122.07"/>
    <n v="1608.76"/>
    <s v="New"/>
    <n v="0.22"/>
    <s v="Cash"/>
    <s v="Retail"/>
    <x v="16"/>
    <n v="15708.98"/>
    <n v="-7620.0199999999995"/>
    <n v="-0.94202715800300652"/>
    <x v="4"/>
    <n v="2023"/>
  </r>
  <r>
    <n v="1073"/>
    <d v="2023-10-23T00:00:00"/>
    <s v="Charlie"/>
    <x v="2"/>
    <n v="4650.68"/>
    <n v="45"/>
    <x v="2"/>
    <n v="4369.5"/>
    <n v="4381.8900000000003"/>
    <s v="Returning"/>
    <n v="0.02"/>
    <s v="Credit Card"/>
    <s v="Retail"/>
    <x v="10"/>
    <n v="196627.5"/>
    <n v="-191976.82"/>
    <n v="-41.279301091453291"/>
    <x v="7"/>
    <n v="2023"/>
  </r>
  <r>
    <n v="1072"/>
    <d v="2023-11-24T00:00:00"/>
    <s v="Alice"/>
    <x v="3"/>
    <n v="5511.11"/>
    <n v="25"/>
    <x v="2"/>
    <n v="481.19"/>
    <n v="693.4"/>
    <s v="New"/>
    <n v="0.27"/>
    <s v="Credit Card"/>
    <s v="Retail"/>
    <x v="18"/>
    <n v="12029.75"/>
    <n v="-6518.64"/>
    <n v="-1.182817980406851"/>
    <x v="8"/>
    <n v="2023"/>
  </r>
  <r>
    <n v="1012"/>
    <d v="2023-10-22T00:00:00"/>
    <s v="David"/>
    <x v="0"/>
    <n v="4384.88"/>
    <n v="34"/>
    <x v="0"/>
    <n v="2462.5500000000002"/>
    <n v="2521.77"/>
    <s v="New"/>
    <n v="0.21"/>
    <s v="Bank Transfer"/>
    <s v="Retail"/>
    <x v="11"/>
    <n v="83726.700000000012"/>
    <n v="-79341.820000000007"/>
    <n v="-18.094410793453871"/>
    <x v="7"/>
    <n v="2023"/>
  </r>
  <r>
    <n v="1034"/>
    <d v="2023-04-14T00:00:00"/>
    <s v="Alice"/>
    <x v="1"/>
    <n v="534.61"/>
    <n v="3"/>
    <x v="2"/>
    <n v="3472.51"/>
    <n v="3732"/>
    <s v="New"/>
    <n v="0.06"/>
    <s v="Cash"/>
    <s v="Online"/>
    <x v="17"/>
    <n v="10417.530000000001"/>
    <n v="-9882.92"/>
    <n v="-18.48622360225211"/>
    <x v="1"/>
    <n v="2023"/>
  </r>
  <r>
    <n v="1033"/>
    <d v="2023-01-14T00:00:00"/>
    <s v="Alice"/>
    <x v="1"/>
    <n v="1740.92"/>
    <n v="24"/>
    <x v="2"/>
    <n v="1345.67"/>
    <n v="1367.76"/>
    <s v="New"/>
    <n v="0.06"/>
    <s v="Bank Transfer"/>
    <s v="Online"/>
    <x v="17"/>
    <n v="32296.080000000002"/>
    <n v="-30555.160000000003"/>
    <n v="-17.551156859591483"/>
    <x v="5"/>
    <n v="2023"/>
  </r>
  <r>
    <n v="1048"/>
    <d v="2023-10-15T00:00:00"/>
    <s v="Charlie"/>
    <x v="0"/>
    <n v="4510.8599999999997"/>
    <n v="42"/>
    <x v="3"/>
    <n v="3139.99"/>
    <n v="3349.37"/>
    <s v="Returning"/>
    <n v="0.13"/>
    <s v="Credit Card"/>
    <s v="Retail"/>
    <x v="19"/>
    <n v="131879.57999999999"/>
    <n v="-127368.71999999999"/>
    <n v="-28.236017078783203"/>
    <x v="7"/>
    <n v="2023"/>
  </r>
  <r>
    <n v="1023"/>
    <d v="2023-06-28T00:00:00"/>
    <s v="Eve"/>
    <x v="3"/>
    <n v="2170.94"/>
    <n v="9"/>
    <x v="2"/>
    <n v="4155.46"/>
    <n v="4273.6000000000004"/>
    <s v="Returning"/>
    <n v="0.25"/>
    <s v="Cash"/>
    <s v="Retail"/>
    <x v="14"/>
    <n v="37399.14"/>
    <n v="-35228.199999999997"/>
    <n v="-16.227164269855454"/>
    <x v="6"/>
    <n v="2023"/>
  </r>
  <r>
    <n v="1062"/>
    <d v="2023-05-05T00:00:00"/>
    <s v="Eve"/>
    <x v="2"/>
    <n v="594.79"/>
    <n v="26"/>
    <x v="2"/>
    <n v="992.17"/>
    <n v="1263.49"/>
    <s v="Returning"/>
    <n v="0.25"/>
    <s v="Bank Transfer"/>
    <s v="Retail"/>
    <x v="6"/>
    <n v="25796.42"/>
    <n v="-25201.629999999997"/>
    <n v="-42.370635014038569"/>
    <x v="10"/>
    <n v="2023"/>
  </r>
  <r>
    <n v="1088"/>
    <d v="2023-12-19T00:00:00"/>
    <s v="Alice"/>
    <x v="3"/>
    <n v="8452.1299999999992"/>
    <n v="20"/>
    <x v="2"/>
    <n v="4590.24"/>
    <n v="5088.28"/>
    <s v="New"/>
    <n v="0.16"/>
    <s v="Bank Transfer"/>
    <s v="Retail"/>
    <x v="18"/>
    <n v="91804.799999999988"/>
    <n v="-83352.669999999984"/>
    <n v="-9.8617354442016385"/>
    <x v="9"/>
    <n v="2023"/>
  </r>
  <r>
    <n v="1037"/>
    <d v="2023-01-23T00:00:00"/>
    <s v="Bob"/>
    <x v="0"/>
    <n v="9813.81"/>
    <n v="40"/>
    <x v="2"/>
    <n v="2790.11"/>
    <n v="3192.37"/>
    <s v="Returning"/>
    <n v="0.26"/>
    <s v="Bank Transfer"/>
    <s v="Online"/>
    <x v="0"/>
    <n v="111604.40000000001"/>
    <n v="-101790.59000000001"/>
    <n v="-10.3721785932273"/>
    <x v="5"/>
    <n v="2023"/>
  </r>
  <r>
    <n v="1099"/>
    <d v="2023-03-04T00:00:00"/>
    <s v="David"/>
    <x v="3"/>
    <n v="7952.11"/>
    <n v="10"/>
    <x v="0"/>
    <n v="1531.2"/>
    <n v="1955.56"/>
    <s v="New"/>
    <n v="0"/>
    <s v="Credit Card"/>
    <s v="Online"/>
    <x v="16"/>
    <n v="15312"/>
    <n v="-7359.89"/>
    <n v="-0.92552668411277017"/>
    <x v="4"/>
    <n v="2023"/>
  </r>
  <r>
    <n v="1044"/>
    <d v="2023-05-23T00:00:00"/>
    <s v="Bob"/>
    <x v="1"/>
    <n v="8552.4699999999993"/>
    <n v="19"/>
    <x v="1"/>
    <n v="2182.75"/>
    <n v="2504.0299999999902"/>
    <s v="New"/>
    <n v="0.01"/>
    <s v="Bank Transfer"/>
    <s v="Online"/>
    <x v="1"/>
    <n v="41472.25"/>
    <n v="-32919.78"/>
    <n v="-3.8491546886455024"/>
    <x v="10"/>
    <n v="2023"/>
  </r>
  <r>
    <n v="1086"/>
    <d v="2023-06-02T00:00:00"/>
    <s v="Bob"/>
    <x v="3"/>
    <n v="2495.5700000000002"/>
    <n v="3"/>
    <x v="3"/>
    <n v="1595.35"/>
    <n v="1625.70999999999"/>
    <s v="New"/>
    <n v="0.27"/>
    <s v="Cash"/>
    <s v="Online"/>
    <x v="12"/>
    <n v="4786.0499999999993"/>
    <n v="-2290.4799999999991"/>
    <n v="-0.91781837415900935"/>
    <x v="6"/>
    <n v="2023"/>
  </r>
  <r>
    <n v="1091"/>
    <d v="2023-05-25T00:00:00"/>
    <s v="Alice"/>
    <x v="0"/>
    <n v="9610.2099999999991"/>
    <n v="24"/>
    <x v="2"/>
    <n v="3639.3"/>
    <n v="3750.63"/>
    <s v="New"/>
    <n v="0.23"/>
    <s v="Bank Transfer"/>
    <s v="Retail"/>
    <x v="15"/>
    <n v="87343.200000000012"/>
    <n v="-77732.99000000002"/>
    <n v="-8.0885839123182564"/>
    <x v="10"/>
    <n v="2023"/>
  </r>
  <r>
    <n v="1035"/>
    <d v="2023-08-13T00:00:00"/>
    <s v="Alice"/>
    <x v="1"/>
    <n v="2049.56"/>
    <n v="5"/>
    <x v="2"/>
    <n v="3991.69"/>
    <n v="4454.97"/>
    <s v="New"/>
    <n v="0.14000000000000001"/>
    <s v="Credit Card"/>
    <s v="Retail"/>
    <x v="17"/>
    <n v="19958.45"/>
    <n v="-17908.89"/>
    <n v="-8.7379193583012942"/>
    <x v="3"/>
    <n v="2023"/>
  </r>
  <r>
    <n v="1065"/>
    <d v="2023-11-05T00:00:00"/>
    <s v="Alice"/>
    <x v="3"/>
    <n v="9519.16"/>
    <n v="3"/>
    <x v="0"/>
    <n v="4173.04"/>
    <n v="4362.4399999999996"/>
    <s v="New"/>
    <n v="0.23"/>
    <s v="Bank Transfer"/>
    <s v="Retail"/>
    <x v="18"/>
    <n v="12519.119999999999"/>
    <n v="-2999.9599999999991"/>
    <n v="-0.31514965606208944"/>
    <x v="8"/>
    <n v="2023"/>
  </r>
  <r>
    <n v="1099"/>
    <d v="2023-04-14T00:00:00"/>
    <s v="Alice"/>
    <x v="3"/>
    <n v="9948.7099999999991"/>
    <n v="27"/>
    <x v="1"/>
    <n v="4929.55"/>
    <n v="4990.33"/>
    <s v="Returning"/>
    <n v="0.28999999999999998"/>
    <s v="Credit Card"/>
    <s v="Online"/>
    <x v="18"/>
    <n v="133097.85"/>
    <n v="-123149.14000000001"/>
    <n v="-12.378402828105354"/>
    <x v="1"/>
    <n v="2023"/>
  </r>
  <r>
    <n v="1047"/>
    <d v="2023-04-14T00:00:00"/>
    <s v="Eve"/>
    <x v="1"/>
    <n v="7146.06"/>
    <n v="16"/>
    <x v="2"/>
    <n v="3966.86"/>
    <n v="4321.04"/>
    <s v="Returning"/>
    <n v="0.23"/>
    <s v="Credit Card"/>
    <s v="Retail"/>
    <x v="8"/>
    <n v="63469.760000000002"/>
    <n v="-56323.700000000004"/>
    <n v="-7.8817838081404297"/>
    <x v="1"/>
    <n v="2023"/>
  </r>
  <r>
    <n v="1078"/>
    <d v="2023-02-08T00:00:00"/>
    <s v="Alice"/>
    <x v="2"/>
    <n v="9813.32"/>
    <n v="49"/>
    <x v="0"/>
    <n v="3026.85"/>
    <n v="3183.58"/>
    <s v="Returning"/>
    <n v="0.25"/>
    <s v="Cash"/>
    <s v="Retail"/>
    <x v="9"/>
    <n v="148315.65"/>
    <n v="-138502.32999999999"/>
    <n v="-14.11370769525502"/>
    <x v="0"/>
    <n v="2023"/>
  </r>
  <r>
    <n v="1003"/>
    <d v="2023-07-17T00:00:00"/>
    <s v="Eve"/>
    <x v="1"/>
    <n v="5738.44"/>
    <n v="15"/>
    <x v="3"/>
    <n v="1729.14"/>
    <n v="1870.88"/>
    <s v="Returning"/>
    <n v="0.23"/>
    <s v="Cash"/>
    <s v="Online"/>
    <x v="8"/>
    <n v="25937.100000000002"/>
    <n v="-20198.660000000003"/>
    <n v="-3.5198869379134408"/>
    <x v="11"/>
    <n v="2023"/>
  </r>
  <r>
    <n v="1001"/>
    <d v="2023-05-14T00:00:00"/>
    <s v="Eve"/>
    <x v="2"/>
    <n v="2669.46"/>
    <n v="35"/>
    <x v="3"/>
    <n v="2745.75"/>
    <n v="3244.76"/>
    <s v="New"/>
    <n v="0.05"/>
    <s v="Bank Transfer"/>
    <s v="Online"/>
    <x v="6"/>
    <n v="96101.25"/>
    <n v="-93431.79"/>
    <n v="-35.000258479242987"/>
    <x v="10"/>
    <n v="2023"/>
  </r>
  <r>
    <n v="1005"/>
    <d v="2023-03-08T00:00:00"/>
    <s v="Alice"/>
    <x v="0"/>
    <n v="4426.26"/>
    <n v="12"/>
    <x v="2"/>
    <n v="253.29"/>
    <n v="683.78"/>
    <s v="New"/>
    <n v="0.25"/>
    <s v="Credit Card"/>
    <s v="Online"/>
    <x v="15"/>
    <n v="3039.48"/>
    <n v="1386.7800000000002"/>
    <n v="0.31330739721570811"/>
    <x v="4"/>
    <n v="2023"/>
  </r>
  <r>
    <n v="1090"/>
    <d v="2023-06-28T00:00:00"/>
    <s v="Charlie"/>
    <x v="0"/>
    <n v="5976.25"/>
    <n v="41"/>
    <x v="2"/>
    <n v="3736.88"/>
    <n v="3946.77"/>
    <s v="Returning"/>
    <n v="0.06"/>
    <s v="Credit Card"/>
    <s v="Online"/>
    <x v="19"/>
    <n v="153212.08000000002"/>
    <n v="-147235.83000000002"/>
    <n v="-24.636825768667645"/>
    <x v="6"/>
    <n v="2023"/>
  </r>
  <r>
    <n v="1014"/>
    <d v="2023-02-11T00:00:00"/>
    <s v="David"/>
    <x v="1"/>
    <n v="823.51"/>
    <n v="44"/>
    <x v="1"/>
    <n v="2257.48"/>
    <n v="2747.81"/>
    <s v="Returning"/>
    <n v="0.27"/>
    <s v="Cash"/>
    <s v="Online"/>
    <x v="13"/>
    <n v="99329.12"/>
    <n v="-98505.61"/>
    <n v="-119.61677453825698"/>
    <x v="0"/>
    <n v="2023"/>
  </r>
  <r>
    <n v="1027"/>
    <d v="2023-01-15T00:00:00"/>
    <s v="Bob"/>
    <x v="1"/>
    <n v="6261.2"/>
    <n v="26"/>
    <x v="1"/>
    <n v="149.11000000000001"/>
    <n v="477.67"/>
    <s v="Returning"/>
    <n v="0.14000000000000001"/>
    <s v="Cash"/>
    <s v="Retail"/>
    <x v="1"/>
    <n v="3876.8600000000006"/>
    <n v="2384.3399999999992"/>
    <n v="0.38081198492301782"/>
    <x v="5"/>
    <n v="2023"/>
  </r>
  <r>
    <n v="1009"/>
    <d v="2023-04-21T00:00:00"/>
    <s v="Eve"/>
    <x v="0"/>
    <n v="9813.66"/>
    <n v="47"/>
    <x v="2"/>
    <n v="359.41"/>
    <n v="733"/>
    <s v="Returning"/>
    <n v="0.2"/>
    <s v="Bank Transfer"/>
    <s v="Retail"/>
    <x v="7"/>
    <n v="16892.27"/>
    <n v="-7078.6100000000006"/>
    <n v="-0.72130173655904128"/>
    <x v="1"/>
    <n v="2023"/>
  </r>
  <r>
    <n v="1079"/>
    <d v="2023-06-06T00:00:00"/>
    <s v="David"/>
    <x v="2"/>
    <n v="1982.07"/>
    <n v="34"/>
    <x v="0"/>
    <n v="1967.96"/>
    <n v="1993.4"/>
    <s v="Returning"/>
    <n v="0.15"/>
    <s v="Credit Card"/>
    <s v="Online"/>
    <x v="2"/>
    <n v="66910.64"/>
    <n v="-64928.57"/>
    <n v="-32.757960112407737"/>
    <x v="6"/>
    <n v="2023"/>
  </r>
  <r>
    <n v="1015"/>
    <d v="2023-10-16T00:00:00"/>
    <s v="Charlie"/>
    <x v="0"/>
    <n v="7946.69"/>
    <n v="23"/>
    <x v="1"/>
    <n v="2937.94"/>
    <n v="3007.53"/>
    <s v="Returning"/>
    <n v="0.03"/>
    <s v="Cash"/>
    <s v="Retail"/>
    <x v="19"/>
    <n v="67572.62"/>
    <n v="-59625.929999999993"/>
    <n v="-7.5032409720273465"/>
    <x v="7"/>
    <n v="2023"/>
  </r>
  <r>
    <n v="1090"/>
    <d v="2023-08-19T00:00:00"/>
    <s v="Bob"/>
    <x v="1"/>
    <n v="9088.2000000000007"/>
    <n v="31"/>
    <x v="2"/>
    <n v="2347.81"/>
    <n v="2668.02"/>
    <s v="Returning"/>
    <n v="0.09"/>
    <s v="Bank Transfer"/>
    <s v="Retail"/>
    <x v="1"/>
    <n v="72782.11"/>
    <n v="-63693.91"/>
    <n v="-7.0084186087454059"/>
    <x v="3"/>
    <n v="2023"/>
  </r>
  <r>
    <n v="1042"/>
    <d v="2023-06-06T00:00:00"/>
    <s v="Bob"/>
    <x v="0"/>
    <n v="9442.65"/>
    <n v="20"/>
    <x v="1"/>
    <n v="3115.06"/>
    <n v="3565.58"/>
    <s v="Returning"/>
    <n v="0.3"/>
    <s v="Credit Card"/>
    <s v="Retail"/>
    <x v="0"/>
    <n v="62301.2"/>
    <n v="-52858.549999999996"/>
    <n v="-5.5978512387941946"/>
    <x v="6"/>
    <n v="2023"/>
  </r>
  <r>
    <n v="1077"/>
    <d v="2023-02-07T00:00:00"/>
    <s v="Eve"/>
    <x v="1"/>
    <n v="9605.34"/>
    <n v="12"/>
    <x v="2"/>
    <n v="2427.46"/>
    <n v="2743.09"/>
    <s v="New"/>
    <n v="0.28999999999999998"/>
    <s v="Credit Card"/>
    <s v="Retail"/>
    <x v="8"/>
    <n v="29129.52"/>
    <n v="-19524.18"/>
    <n v="-2.0326380950596232"/>
    <x v="0"/>
    <n v="2023"/>
  </r>
  <r>
    <n v="1051"/>
    <d v="2023-04-07T00:00:00"/>
    <s v="Alice"/>
    <x v="1"/>
    <n v="5262.45"/>
    <n v="23"/>
    <x v="3"/>
    <n v="3325.43"/>
    <n v="3401.1"/>
    <s v="New"/>
    <n v="0.1"/>
    <s v="Cash"/>
    <s v="Online"/>
    <x v="17"/>
    <n v="76484.89"/>
    <n v="-71222.44"/>
    <n v="-13.534083934289162"/>
    <x v="1"/>
    <n v="2023"/>
  </r>
  <r>
    <n v="1063"/>
    <d v="2023-10-16T00:00:00"/>
    <s v="Charlie"/>
    <x v="0"/>
    <n v="9775.35"/>
    <n v="4"/>
    <x v="2"/>
    <n v="1134.67"/>
    <n v="1201.3900000000001"/>
    <s v="New"/>
    <n v="0.3"/>
    <s v="Bank Transfer"/>
    <s v="Retail"/>
    <x v="19"/>
    <n v="4538.68"/>
    <n v="5236.67"/>
    <n v="0.53570153498340212"/>
    <x v="7"/>
    <n v="2023"/>
  </r>
  <r>
    <n v="1096"/>
    <d v="2023-09-11T00:00:00"/>
    <s v="Eve"/>
    <x v="2"/>
    <n v="7597.37"/>
    <n v="23"/>
    <x v="3"/>
    <n v="608.57000000000005"/>
    <n v="1032.22"/>
    <s v="New"/>
    <n v="0.25"/>
    <s v="Cash"/>
    <s v="Retail"/>
    <x v="6"/>
    <n v="13997.11"/>
    <n v="-6399.7400000000007"/>
    <n v="-0.8423625544102763"/>
    <x v="2"/>
    <n v="2023"/>
  </r>
  <r>
    <n v="1052"/>
    <d v="2023-07-15T00:00:00"/>
    <s v="Charlie"/>
    <x v="3"/>
    <n v="1700.55"/>
    <n v="48"/>
    <x v="1"/>
    <n v="3002.35"/>
    <n v="3080.61"/>
    <s v="Returning"/>
    <n v="0.18"/>
    <s v="Bank Transfer"/>
    <s v="Retail"/>
    <x v="4"/>
    <n v="144112.79999999999"/>
    <n v="-142412.25"/>
    <n v="-83.74481785304755"/>
    <x v="11"/>
    <n v="2023"/>
  </r>
  <r>
    <n v="1096"/>
    <d v="2023-03-27T00:00:00"/>
    <s v="Alice"/>
    <x v="0"/>
    <n v="4821.3100000000004"/>
    <n v="48"/>
    <x v="2"/>
    <n v="2449.21"/>
    <n v="2714.12"/>
    <s v="New"/>
    <n v="0.01"/>
    <s v="Credit Card"/>
    <s v="Online"/>
    <x v="15"/>
    <n v="117562.08"/>
    <n v="-112740.77"/>
    <n v="-23.383845884209894"/>
    <x v="4"/>
    <n v="2023"/>
  </r>
  <r>
    <n v="1004"/>
    <d v="2023-11-18T00:00:00"/>
    <s v="Alice"/>
    <x v="3"/>
    <n v="7211.48"/>
    <n v="1"/>
    <x v="1"/>
    <n v="182.99"/>
    <n v="211.18"/>
    <s v="Returning"/>
    <n v="0.27"/>
    <s v="Bank Transfer"/>
    <s v="Retail"/>
    <x v="18"/>
    <n v="182.99"/>
    <n v="7028.49"/>
    <n v="0.974625180961467"/>
    <x v="8"/>
    <n v="2023"/>
  </r>
  <r>
    <n v="1094"/>
    <d v="2023-01-10T00:00:00"/>
    <s v="Eve"/>
    <x v="0"/>
    <n v="2548.67"/>
    <n v="25"/>
    <x v="3"/>
    <n v="1933.39"/>
    <n v="1982.92"/>
    <s v="New"/>
    <n v="0.17"/>
    <s v="Bank Transfer"/>
    <s v="Online"/>
    <x v="7"/>
    <n v="48334.75"/>
    <n v="-45786.080000000002"/>
    <n v="-17.964695311672362"/>
    <x v="5"/>
    <n v="2023"/>
  </r>
  <r>
    <n v="1023"/>
    <d v="2023-01-05T00:00:00"/>
    <s v="Alice"/>
    <x v="3"/>
    <n v="6442.09"/>
    <n v="2"/>
    <x v="2"/>
    <n v="575.32000000000005"/>
    <n v="914.77"/>
    <s v="Returning"/>
    <n v="0.26"/>
    <s v="Bank Transfer"/>
    <s v="Online"/>
    <x v="18"/>
    <n v="1150.6400000000001"/>
    <n v="5291.45"/>
    <n v="0.82138715851532651"/>
    <x v="5"/>
    <n v="2023"/>
  </r>
  <r>
    <n v="1015"/>
    <d v="2023-05-03T00:00:00"/>
    <s v="David"/>
    <x v="2"/>
    <n v="6699.34"/>
    <n v="30"/>
    <x v="1"/>
    <n v="2680.22"/>
    <n v="3027.9199999999901"/>
    <s v="Returning"/>
    <n v="0.25"/>
    <s v="Bank Transfer"/>
    <s v="Online"/>
    <x v="2"/>
    <n v="80406.599999999991"/>
    <n v="-73707.259999999995"/>
    <n v="-11.00216737768198"/>
    <x v="10"/>
    <n v="2023"/>
  </r>
  <r>
    <n v="1043"/>
    <d v="2023-11-26T00:00:00"/>
    <s v="Bob"/>
    <x v="2"/>
    <n v="1710.73"/>
    <n v="3"/>
    <x v="3"/>
    <n v="2009.1"/>
    <n v="2186.42"/>
    <s v="New"/>
    <n v="0.25"/>
    <s v="Bank Transfer"/>
    <s v="Online"/>
    <x v="3"/>
    <n v="6027.2999999999993"/>
    <n v="-4316.57"/>
    <n v="-2.5232327719745369"/>
    <x v="8"/>
    <n v="2023"/>
  </r>
  <r>
    <n v="1029"/>
    <d v="2023-12-19T00:00:00"/>
    <s v="Eve"/>
    <x v="0"/>
    <n v="5694.34"/>
    <n v="21"/>
    <x v="1"/>
    <n v="3085.1"/>
    <n v="3200.75"/>
    <s v="New"/>
    <n v="0.21"/>
    <s v="Cash"/>
    <s v="Retail"/>
    <x v="7"/>
    <n v="64787.1"/>
    <n v="-59092.759999999995"/>
    <n v="-10.377455508452252"/>
    <x v="9"/>
    <n v="2023"/>
  </r>
  <r>
    <n v="1036"/>
    <d v="2023-04-28T00:00:00"/>
    <s v="Charlie"/>
    <x v="1"/>
    <n v="7739.11"/>
    <n v="25"/>
    <x v="0"/>
    <n v="4037.73"/>
    <n v="4446.45"/>
    <s v="Returning"/>
    <n v="0.09"/>
    <s v="Bank Transfer"/>
    <s v="Online"/>
    <x v="5"/>
    <n v="100943.25"/>
    <n v="-93204.14"/>
    <n v="-12.043263372661714"/>
    <x v="1"/>
    <n v="2023"/>
  </r>
  <r>
    <n v="1013"/>
    <d v="2023-10-21T00:00:00"/>
    <s v="David"/>
    <x v="3"/>
    <n v="5039.07"/>
    <n v="20"/>
    <x v="3"/>
    <n v="1533.36"/>
    <n v="1649.73999999999"/>
    <s v="Returning"/>
    <n v="0.1"/>
    <s v="Bank Transfer"/>
    <s v="Online"/>
    <x v="16"/>
    <n v="30667.199999999997"/>
    <n v="-25628.129999999997"/>
    <n v="-5.0858848954271325"/>
    <x v="7"/>
    <n v="2023"/>
  </r>
  <r>
    <n v="1032"/>
    <d v="2023-06-08T00:00:00"/>
    <s v="Eve"/>
    <x v="1"/>
    <n v="219.82"/>
    <n v="49"/>
    <x v="3"/>
    <n v="4812.41"/>
    <n v="5088"/>
    <s v="Returning"/>
    <n v="0.09"/>
    <s v="Credit Card"/>
    <s v="Online"/>
    <x v="8"/>
    <n v="235808.09"/>
    <n v="-235588.27"/>
    <n v="-1071.7326448912747"/>
    <x v="6"/>
    <n v="2023"/>
  </r>
  <r>
    <n v="1071"/>
    <d v="2023-10-30T00:00:00"/>
    <s v="Alice"/>
    <x v="1"/>
    <n v="189.48"/>
    <n v="22"/>
    <x v="3"/>
    <n v="2701.39"/>
    <n v="3185.81"/>
    <s v="New"/>
    <n v="0.01"/>
    <s v="Bank Transfer"/>
    <s v="Online"/>
    <x v="17"/>
    <n v="59430.579999999994"/>
    <n v="-59241.099999999991"/>
    <n v="-312.65093941313063"/>
    <x v="7"/>
    <n v="2023"/>
  </r>
  <r>
    <n v="1059"/>
    <d v="2023-08-16T00:00:00"/>
    <s v="Alice"/>
    <x v="1"/>
    <n v="3634.59"/>
    <n v="21"/>
    <x v="2"/>
    <n v="3110.54"/>
    <n v="3192.99"/>
    <s v="New"/>
    <n v="0.17"/>
    <s v="Credit Card"/>
    <s v="Online"/>
    <x v="17"/>
    <n v="65321.34"/>
    <n v="-61686.75"/>
    <n v="-16.972134408557775"/>
    <x v="3"/>
    <n v="2023"/>
  </r>
  <r>
    <n v="1086"/>
    <d v="2023-12-31T00:00:00"/>
    <s v="Alice"/>
    <x v="2"/>
    <n v="9269.32"/>
    <n v="33"/>
    <x v="2"/>
    <n v="3419.33"/>
    <n v="3890.3599999999901"/>
    <s v="Returning"/>
    <n v="0.21"/>
    <s v="Cash"/>
    <s v="Retail"/>
    <x v="9"/>
    <n v="112837.89"/>
    <n v="-103568.57"/>
    <n v="-11.173265137032708"/>
    <x v="9"/>
    <n v="2023"/>
  </r>
  <r>
    <n v="1028"/>
    <d v="2023-08-04T00:00:00"/>
    <s v="Alice"/>
    <x v="0"/>
    <n v="2363.9"/>
    <n v="38"/>
    <x v="2"/>
    <n v="3350.32"/>
    <n v="3449.94"/>
    <s v="New"/>
    <n v="0.26"/>
    <s v="Cash"/>
    <s v="Online"/>
    <x v="15"/>
    <n v="127312.16"/>
    <n v="-124948.26000000001"/>
    <n v="-52.856829815136003"/>
    <x v="3"/>
    <n v="2023"/>
  </r>
  <r>
    <n v="1066"/>
    <d v="2023-07-03T00:00:00"/>
    <s v="Charlie"/>
    <x v="0"/>
    <n v="6380.2"/>
    <n v="15"/>
    <x v="0"/>
    <n v="2579.31"/>
    <n v="2867.36"/>
    <s v="Returning"/>
    <n v="0.04"/>
    <s v="Bank Transfer"/>
    <s v="Retail"/>
    <x v="19"/>
    <n v="38689.65"/>
    <n v="-32309.45"/>
    <n v="-5.0640183693301157"/>
    <x v="11"/>
    <n v="2023"/>
  </r>
  <r>
    <n v="1042"/>
    <d v="2023-01-15T00:00:00"/>
    <s v="David"/>
    <x v="2"/>
    <n v="2298.5500000000002"/>
    <n v="46"/>
    <x v="0"/>
    <n v="2172.38"/>
    <n v="2367.11"/>
    <s v="New"/>
    <n v="0.16"/>
    <s v="Cash"/>
    <s v="Retail"/>
    <x v="2"/>
    <n v="99929.48000000001"/>
    <n v="-97630.930000000008"/>
    <n v="-42.475008157316566"/>
    <x v="5"/>
    <n v="2023"/>
  </r>
  <r>
    <n v="1045"/>
    <d v="2023-06-06T00:00:00"/>
    <s v="Bob"/>
    <x v="2"/>
    <n v="3284.53"/>
    <n v="15"/>
    <x v="3"/>
    <n v="316.22000000000003"/>
    <n v="799.04"/>
    <s v="New"/>
    <n v="0"/>
    <s v="Bank Transfer"/>
    <s v="Online"/>
    <x v="3"/>
    <n v="4743.3"/>
    <n v="-1458.77"/>
    <n v="-0.44413355944381688"/>
    <x v="6"/>
    <n v="2023"/>
  </r>
  <r>
    <n v="1062"/>
    <d v="2023-05-16T00:00:00"/>
    <s v="Charlie"/>
    <x v="0"/>
    <n v="8495.6200000000008"/>
    <n v="46"/>
    <x v="0"/>
    <n v="159.32"/>
    <n v="303.36"/>
    <s v="New"/>
    <n v="0.03"/>
    <s v="Cash"/>
    <s v="Retail"/>
    <x v="19"/>
    <n v="7328.7199999999993"/>
    <n v="1166.9000000000015"/>
    <n v="0.13735313020120973"/>
    <x v="10"/>
    <n v="2023"/>
  </r>
  <r>
    <n v="1057"/>
    <d v="2023-09-18T00:00:00"/>
    <s v="Charlie"/>
    <x v="1"/>
    <n v="7315.73"/>
    <n v="25"/>
    <x v="1"/>
    <n v="1821.91"/>
    <n v="2027.74"/>
    <s v="New"/>
    <n v="0.02"/>
    <s v="Bank Transfer"/>
    <s v="Retail"/>
    <x v="5"/>
    <n v="45547.75"/>
    <n v="-38232.020000000004"/>
    <n v="-5.2260020531102169"/>
    <x v="2"/>
    <n v="2023"/>
  </r>
  <r>
    <n v="1006"/>
    <d v="2023-06-06T00:00:00"/>
    <s v="Bob"/>
    <x v="3"/>
    <n v="1044.45"/>
    <n v="21"/>
    <x v="3"/>
    <n v="1701.62"/>
    <n v="2193.2199999999998"/>
    <s v="New"/>
    <n v="0.22"/>
    <s v="Bank Transfer"/>
    <s v="Retail"/>
    <x v="12"/>
    <n v="35734.019999999997"/>
    <n v="-34689.57"/>
    <n v="-33.213241418928618"/>
    <x v="6"/>
    <n v="2023"/>
  </r>
  <r>
    <n v="1028"/>
    <d v="2023-02-16T00:00:00"/>
    <s v="Bob"/>
    <x v="3"/>
    <n v="4344.1499999999996"/>
    <n v="24"/>
    <x v="3"/>
    <n v="1969.09"/>
    <n v="2241.96"/>
    <s v="Returning"/>
    <n v="0.02"/>
    <s v="Credit Card"/>
    <s v="Online"/>
    <x v="12"/>
    <n v="47258.159999999996"/>
    <n v="-42914.009999999995"/>
    <n v="-9.8785746348537682"/>
    <x v="0"/>
    <n v="2023"/>
  </r>
  <r>
    <n v="1028"/>
    <d v="2023-11-20T00:00:00"/>
    <s v="Alice"/>
    <x v="3"/>
    <n v="388.78"/>
    <n v="5"/>
    <x v="1"/>
    <n v="734.92"/>
    <n v="991.21"/>
    <s v="Returning"/>
    <n v="0.21"/>
    <s v="Credit Card"/>
    <s v="Online"/>
    <x v="18"/>
    <n v="3674.6"/>
    <n v="-3285.8199999999997"/>
    <n v="-8.4516178815782705"/>
    <x v="8"/>
    <n v="2023"/>
  </r>
  <r>
    <n v="1044"/>
    <d v="2023-11-28T00:00:00"/>
    <s v="Charlie"/>
    <x v="1"/>
    <n v="4860.8100000000004"/>
    <n v="6"/>
    <x v="3"/>
    <n v="3703.93"/>
    <n v="3840.24"/>
    <s v="New"/>
    <n v="7.0000000000000007E-2"/>
    <s v="Credit Card"/>
    <s v="Online"/>
    <x v="5"/>
    <n v="22223.579999999998"/>
    <n v="-17362.769999999997"/>
    <n v="-3.5719910879051011"/>
    <x v="8"/>
    <n v="2023"/>
  </r>
  <r>
    <n v="1084"/>
    <d v="2023-06-22T00:00:00"/>
    <s v="Eve"/>
    <x v="0"/>
    <n v="6658.1"/>
    <n v="49"/>
    <x v="0"/>
    <n v="4291.97"/>
    <n v="4645.6400000000003"/>
    <s v="Returning"/>
    <n v="0.26"/>
    <s v="Credit Card"/>
    <s v="Online"/>
    <x v="7"/>
    <n v="210306.53"/>
    <n v="-203648.43"/>
    <n v="-30.58656824018864"/>
    <x v="6"/>
    <n v="2023"/>
  </r>
  <r>
    <n v="1030"/>
    <d v="2023-05-10T00:00:00"/>
    <s v="Bob"/>
    <x v="2"/>
    <n v="1273.18"/>
    <n v="43"/>
    <x v="2"/>
    <n v="4696.6400000000003"/>
    <n v="4713.68"/>
    <s v="Returning"/>
    <n v="0.24"/>
    <s v="Bank Transfer"/>
    <s v="Online"/>
    <x v="3"/>
    <n v="201955.52000000002"/>
    <n v="-200682.34000000003"/>
    <n v="-157.62291270676576"/>
    <x v="10"/>
    <n v="2023"/>
  </r>
  <r>
    <n v="1062"/>
    <d v="2023-04-05T00:00:00"/>
    <s v="Bob"/>
    <x v="0"/>
    <n v="2959.96"/>
    <n v="48"/>
    <x v="1"/>
    <n v="2487.19"/>
    <n v="2521.4499999999998"/>
    <s v="New"/>
    <n v="0.28999999999999998"/>
    <s v="Cash"/>
    <s v="Online"/>
    <x v="0"/>
    <n v="119385.12"/>
    <n v="-116425.15999999999"/>
    <n v="-39.333355856160217"/>
    <x v="1"/>
    <n v="2023"/>
  </r>
  <r>
    <n v="1075"/>
    <d v="2023-04-25T00:00:00"/>
    <s v="David"/>
    <x v="1"/>
    <n v="4038.58"/>
    <n v="44"/>
    <x v="0"/>
    <n v="3519.29"/>
    <n v="3822.98"/>
    <s v="Returning"/>
    <n v="0.27"/>
    <s v="Bank Transfer"/>
    <s v="Online"/>
    <x v="13"/>
    <n v="154848.76"/>
    <n v="-150810.18000000002"/>
    <n v="-37.342377766442667"/>
    <x v="1"/>
    <n v="2023"/>
  </r>
  <r>
    <n v="1092"/>
    <d v="2023-08-31T00:00:00"/>
    <s v="Eve"/>
    <x v="2"/>
    <n v="9203.36"/>
    <n v="47"/>
    <x v="1"/>
    <n v="4284.9799999999996"/>
    <n v="4462.3999999999996"/>
    <s v="New"/>
    <n v="0.28000000000000003"/>
    <s v="Credit Card"/>
    <s v="Retail"/>
    <x v="6"/>
    <n v="201394.05999999997"/>
    <n v="-192190.69999999995"/>
    <n v="-20.882666765181405"/>
    <x v="3"/>
    <n v="2023"/>
  </r>
  <r>
    <n v="1089"/>
    <d v="2023-10-19T00:00:00"/>
    <s v="Eve"/>
    <x v="1"/>
    <n v="9933.2199999999993"/>
    <n v="23"/>
    <x v="1"/>
    <n v="2120.54"/>
    <n v="2597.67"/>
    <s v="Returning"/>
    <n v="0.26"/>
    <s v="Credit Card"/>
    <s v="Retail"/>
    <x v="8"/>
    <n v="48772.42"/>
    <n v="-38839.199999999997"/>
    <n v="-3.9100311882753025"/>
    <x v="7"/>
    <n v="2023"/>
  </r>
  <r>
    <n v="1062"/>
    <d v="2023-10-09T00:00:00"/>
    <s v="Bob"/>
    <x v="3"/>
    <n v="544.62"/>
    <n v="4"/>
    <x v="3"/>
    <n v="1581.59"/>
    <n v="2034.1499999999901"/>
    <s v="Returning"/>
    <n v="0.21"/>
    <s v="Cash"/>
    <s v="Online"/>
    <x v="12"/>
    <n v="6326.36"/>
    <n v="-5781.74"/>
    <n v="-10.616099298593515"/>
    <x v="7"/>
    <n v="2023"/>
  </r>
  <r>
    <n v="1097"/>
    <d v="2023-10-26T00:00:00"/>
    <s v="Alice"/>
    <x v="3"/>
    <n v="7633.98"/>
    <n v="27"/>
    <x v="3"/>
    <n v="4686.79"/>
    <n v="5046.51"/>
    <s v="Returning"/>
    <n v="0.05"/>
    <s v="Credit Card"/>
    <s v="Retail"/>
    <x v="18"/>
    <n v="126543.33"/>
    <n v="-118909.35"/>
    <n v="-15.576324538445217"/>
    <x v="7"/>
    <n v="2023"/>
  </r>
  <r>
    <n v="1001"/>
    <d v="2023-10-10T00:00:00"/>
    <s v="David"/>
    <x v="1"/>
    <n v="3780.07"/>
    <n v="18"/>
    <x v="0"/>
    <n v="2602.6"/>
    <n v="3013.49"/>
    <s v="Returning"/>
    <n v="0.08"/>
    <s v="Bank Transfer"/>
    <s v="Online"/>
    <x v="13"/>
    <n v="46846.799999999996"/>
    <n v="-43066.729999999996"/>
    <n v="-11.393103831410528"/>
    <x v="7"/>
    <n v="2023"/>
  </r>
  <r>
    <n v="1027"/>
    <d v="2023-03-10T00:00:00"/>
    <s v="Eve"/>
    <x v="2"/>
    <n v="3985.34"/>
    <n v="21"/>
    <x v="1"/>
    <n v="2511.41"/>
    <n v="2848.3999999999901"/>
    <s v="Returning"/>
    <n v="0.06"/>
    <s v="Bank Transfer"/>
    <s v="Online"/>
    <x v="6"/>
    <n v="52739.61"/>
    <n v="-48754.270000000004"/>
    <n v="-12.233402921708061"/>
    <x v="4"/>
    <n v="2023"/>
  </r>
  <r>
    <n v="1062"/>
    <d v="2023-05-28T00:00:00"/>
    <s v="Bob"/>
    <x v="2"/>
    <n v="7567.22"/>
    <n v="28"/>
    <x v="3"/>
    <n v="933.16"/>
    <n v="1004.69999999999"/>
    <s v="Returning"/>
    <n v="0.18"/>
    <s v="Bank Transfer"/>
    <s v="Online"/>
    <x v="3"/>
    <n v="26128.48"/>
    <n v="-18561.259999999998"/>
    <n v="-2.4528505844947017"/>
    <x v="10"/>
    <n v="2023"/>
  </r>
  <r>
    <n v="1077"/>
    <d v="2023-01-11T00:00:00"/>
    <s v="Eve"/>
    <x v="0"/>
    <n v="9192.42"/>
    <n v="35"/>
    <x v="3"/>
    <n v="585.37"/>
    <n v="970.49"/>
    <s v="Returning"/>
    <n v="0.15"/>
    <s v="Bank Transfer"/>
    <s v="Retail"/>
    <x v="7"/>
    <n v="20487.95"/>
    <n v="-11295.53"/>
    <n v="-1.2287874139780386"/>
    <x v="5"/>
    <n v="2023"/>
  </r>
  <r>
    <n v="1003"/>
    <d v="2023-09-11T00:00:00"/>
    <s v="David"/>
    <x v="3"/>
    <n v="9514.19"/>
    <n v="22"/>
    <x v="1"/>
    <n v="4218.43"/>
    <n v="4331.42"/>
    <s v="New"/>
    <n v="0.26"/>
    <s v="Bank Transfer"/>
    <s v="Online"/>
    <x v="16"/>
    <n v="92805.46"/>
    <n v="-83291.27"/>
    <n v="-8.7544257577366018"/>
    <x v="2"/>
    <n v="2023"/>
  </r>
  <r>
    <n v="1070"/>
    <d v="2023-11-26T00:00:00"/>
    <s v="David"/>
    <x v="0"/>
    <n v="5813.51"/>
    <n v="40"/>
    <x v="0"/>
    <n v="3089.96"/>
    <n v="3258.45"/>
    <s v="New"/>
    <n v="0.28999999999999998"/>
    <s v="Cash"/>
    <s v="Online"/>
    <x v="11"/>
    <n v="123598.39999999999"/>
    <n v="-117784.89"/>
    <n v="-20.260546554491174"/>
    <x v="8"/>
    <n v="2023"/>
  </r>
  <r>
    <n v="1072"/>
    <d v="2023-12-26T00:00:00"/>
    <s v="Charlie"/>
    <x v="0"/>
    <n v="3635.5"/>
    <n v="23"/>
    <x v="0"/>
    <n v="1662.83"/>
    <n v="2074.25"/>
    <s v="New"/>
    <n v="0.12"/>
    <s v="Bank Transfer"/>
    <s v="Online"/>
    <x v="19"/>
    <n v="38245.089999999997"/>
    <n v="-34609.589999999997"/>
    <n v="-9.5198982258286335"/>
    <x v="9"/>
    <n v="2023"/>
  </r>
  <r>
    <n v="1027"/>
    <d v="2023-02-07T00:00:00"/>
    <s v="Bob"/>
    <x v="1"/>
    <n v="7896.74"/>
    <n v="3"/>
    <x v="1"/>
    <n v="999.09"/>
    <n v="1271.99"/>
    <s v="New"/>
    <n v="0.15"/>
    <s v="Credit Card"/>
    <s v="Online"/>
    <x v="1"/>
    <n v="2997.27"/>
    <n v="4899.4699999999993"/>
    <n v="0.62044210648951337"/>
    <x v="0"/>
    <n v="2023"/>
  </r>
  <r>
    <n v="1009"/>
    <d v="2023-05-14T00:00:00"/>
    <s v="David"/>
    <x v="1"/>
    <n v="2584.91"/>
    <n v="40"/>
    <x v="0"/>
    <n v="2799.71"/>
    <n v="3231.08"/>
    <s v="Returning"/>
    <n v="0.28999999999999998"/>
    <s v="Credit Card"/>
    <s v="Retail"/>
    <x v="13"/>
    <n v="111988.4"/>
    <n v="-109403.48999999999"/>
    <n v="-42.323906828477583"/>
    <x v="10"/>
    <n v="2023"/>
  </r>
  <r>
    <n v="1062"/>
    <d v="2023-07-19T00:00:00"/>
    <s v="Charlie"/>
    <x v="0"/>
    <n v="5684.33"/>
    <n v="10"/>
    <x v="3"/>
    <n v="2940.4"/>
    <n v="3054.79"/>
    <s v="Returning"/>
    <n v="0.08"/>
    <s v="Credit Card"/>
    <s v="Online"/>
    <x v="19"/>
    <n v="29404"/>
    <n v="-23719.67"/>
    <n v="-4.1728172009717941"/>
    <x v="11"/>
    <n v="2023"/>
  </r>
  <r>
    <n v="1037"/>
    <d v="2023-01-23T00:00:00"/>
    <s v="Charlie"/>
    <x v="3"/>
    <n v="3649.93"/>
    <n v="25"/>
    <x v="1"/>
    <n v="1074.6199999999999"/>
    <n v="1382.4299999999901"/>
    <s v="Returning"/>
    <n v="0.24"/>
    <s v="Credit Card"/>
    <s v="Retail"/>
    <x v="4"/>
    <n v="26865.499999999996"/>
    <n v="-23215.569999999996"/>
    <n v="-6.3605521201776467"/>
    <x v="5"/>
    <n v="2023"/>
  </r>
  <r>
    <n v="1097"/>
    <d v="2023-10-30T00:00:00"/>
    <s v="Eve"/>
    <x v="1"/>
    <n v="6600.65"/>
    <n v="49"/>
    <x v="3"/>
    <n v="4264.46"/>
    <n v="4315.5200000000004"/>
    <s v="New"/>
    <n v="7.0000000000000007E-2"/>
    <s v="Cash"/>
    <s v="Retail"/>
    <x v="8"/>
    <n v="208958.54"/>
    <n v="-202357.89"/>
    <n v="-30.657267087332311"/>
    <x v="7"/>
    <n v="2023"/>
  </r>
  <r>
    <n v="1051"/>
    <d v="2023-12-12T00:00:00"/>
    <s v="Eve"/>
    <x v="0"/>
    <n v="2479.9499999999998"/>
    <n v="8"/>
    <x v="2"/>
    <n v="467.11"/>
    <n v="792.21"/>
    <s v="New"/>
    <n v="0.2"/>
    <s v="Credit Card"/>
    <s v="Online"/>
    <x v="7"/>
    <n v="3736.88"/>
    <n v="-1256.9300000000003"/>
    <n v="-0.50683683138772972"/>
    <x v="9"/>
    <n v="2023"/>
  </r>
  <r>
    <n v="1044"/>
    <d v="2023-10-29T00:00:00"/>
    <s v="Charlie"/>
    <x v="0"/>
    <n v="1996.77"/>
    <n v="11"/>
    <x v="2"/>
    <n v="1812.66"/>
    <n v="2196.3000000000002"/>
    <s v="New"/>
    <n v="0.08"/>
    <s v="Cash"/>
    <s v="Online"/>
    <x v="19"/>
    <n v="19939.260000000002"/>
    <n v="-17942.490000000002"/>
    <n v="-8.9857569975510465"/>
    <x v="7"/>
    <n v="2023"/>
  </r>
  <r>
    <n v="1024"/>
    <d v="2023-12-29T00:00:00"/>
    <s v="Eve"/>
    <x v="0"/>
    <n v="9190.57"/>
    <n v="5"/>
    <x v="0"/>
    <n v="3417.9"/>
    <n v="3714.52"/>
    <s v="Returning"/>
    <n v="0.27"/>
    <s v="Credit Card"/>
    <s v="Retail"/>
    <x v="7"/>
    <n v="17089.5"/>
    <n v="-7898.93"/>
    <n v="-0.85946029462808082"/>
    <x v="9"/>
    <n v="2023"/>
  </r>
  <r>
    <n v="1079"/>
    <d v="2023-08-06T00:00:00"/>
    <s v="David"/>
    <x v="0"/>
    <n v="1107.8599999999999"/>
    <n v="45"/>
    <x v="2"/>
    <n v="1406.9"/>
    <n v="1547.35"/>
    <s v="New"/>
    <n v="0.17"/>
    <s v="Cash"/>
    <s v="Retail"/>
    <x v="11"/>
    <n v="63310.500000000007"/>
    <n v="-62202.640000000007"/>
    <n v="-56.146661130467763"/>
    <x v="3"/>
    <n v="2023"/>
  </r>
  <r>
    <n v="1059"/>
    <d v="2023-05-21T00:00:00"/>
    <s v="Alice"/>
    <x v="0"/>
    <n v="5108.9799999999996"/>
    <n v="37"/>
    <x v="3"/>
    <n v="4146.99"/>
    <n v="4172.3499999999904"/>
    <s v="Returning"/>
    <n v="0.06"/>
    <s v="Cash"/>
    <s v="Retail"/>
    <x v="15"/>
    <n v="153438.63"/>
    <n v="-148329.65"/>
    <n v="-29.033124028671086"/>
    <x v="10"/>
    <n v="2023"/>
  </r>
  <r>
    <n v="1032"/>
    <d v="2023-04-14T00:00:00"/>
    <s v="David"/>
    <x v="0"/>
    <n v="2286.44"/>
    <n v="45"/>
    <x v="2"/>
    <n v="3712.35"/>
    <n v="3780.88"/>
    <s v="New"/>
    <n v="7.0000000000000007E-2"/>
    <s v="Cash"/>
    <s v="Retail"/>
    <x v="11"/>
    <n v="167055.75"/>
    <n v="-164769.31"/>
    <n v="-72.063692902503448"/>
    <x v="1"/>
    <n v="2023"/>
  </r>
  <r>
    <n v="1096"/>
    <d v="2023-07-29T00:00:00"/>
    <s v="Charlie"/>
    <x v="1"/>
    <n v="485.41"/>
    <n v="38"/>
    <x v="3"/>
    <n v="3955.66"/>
    <n v="4270.59"/>
    <s v="Returning"/>
    <n v="0.15"/>
    <s v="Credit Card"/>
    <s v="Online"/>
    <x v="5"/>
    <n v="150315.07999999999"/>
    <n v="-149829.66999999998"/>
    <n v="-308.66622030860503"/>
    <x v="11"/>
    <n v="2023"/>
  </r>
  <r>
    <n v="1088"/>
    <d v="2023-04-21T00:00:00"/>
    <s v="Charlie"/>
    <x v="3"/>
    <n v="456.59"/>
    <n v="29"/>
    <x v="0"/>
    <n v="639.58000000000004"/>
    <n v="1107.45"/>
    <s v="New"/>
    <n v="0.28999999999999998"/>
    <s v="Cash"/>
    <s v="Retail"/>
    <x v="4"/>
    <n v="18547.82"/>
    <n v="-18091.23"/>
    <n v="-39.622484066668129"/>
    <x v="1"/>
    <n v="2023"/>
  </r>
  <r>
    <n v="1052"/>
    <d v="2023-04-14T00:00:00"/>
    <s v="David"/>
    <x v="0"/>
    <n v="1834.7"/>
    <n v="5"/>
    <x v="0"/>
    <n v="745.71"/>
    <n v="856.91"/>
    <s v="Returning"/>
    <n v="0.23"/>
    <s v="Bank Transfer"/>
    <s v="Retail"/>
    <x v="11"/>
    <n v="3728.55"/>
    <n v="-1893.8500000000001"/>
    <n v="-1.0322396032048837"/>
    <x v="1"/>
    <n v="2023"/>
  </r>
  <r>
    <n v="1062"/>
    <d v="2023-11-12T00:00:00"/>
    <s v="Eve"/>
    <x v="2"/>
    <n v="8681.0300000000007"/>
    <n v="9"/>
    <x v="3"/>
    <n v="1468.05"/>
    <n v="1838.21"/>
    <s v="New"/>
    <n v="0.15"/>
    <s v="Bank Transfer"/>
    <s v="Retail"/>
    <x v="6"/>
    <n v="13212.449999999999"/>
    <n v="-4531.4199999999983"/>
    <n v="-0.52199105405694923"/>
    <x v="8"/>
    <n v="2023"/>
  </r>
  <r>
    <n v="1058"/>
    <d v="2023-06-20T00:00:00"/>
    <s v="Eve"/>
    <x v="1"/>
    <n v="2896.54"/>
    <n v="48"/>
    <x v="2"/>
    <n v="2614.48"/>
    <n v="3049.04"/>
    <s v="New"/>
    <n v="0.1"/>
    <s v="Credit Card"/>
    <s v="Retail"/>
    <x v="8"/>
    <n v="125495.04000000001"/>
    <n v="-122598.50000000001"/>
    <n v="-42.325843937939752"/>
    <x v="6"/>
    <n v="2023"/>
  </r>
  <r>
    <n v="1052"/>
    <d v="2023-12-22T00:00:00"/>
    <s v="Charlie"/>
    <x v="1"/>
    <n v="9509.5499999999993"/>
    <n v="2"/>
    <x v="0"/>
    <n v="3752.68"/>
    <n v="4017.91"/>
    <s v="Returning"/>
    <n v="0.16"/>
    <s v="Bank Transfer"/>
    <s v="Online"/>
    <x v="5"/>
    <n v="7505.36"/>
    <n v="2004.1899999999996"/>
    <n v="0.21075550367788168"/>
    <x v="9"/>
    <n v="2023"/>
  </r>
  <r>
    <n v="1012"/>
    <d v="2023-11-20T00:00:00"/>
    <s v="Bob"/>
    <x v="0"/>
    <n v="5858.06"/>
    <n v="1"/>
    <x v="1"/>
    <n v="4190.83"/>
    <n v="4528.7699999999904"/>
    <s v="Returning"/>
    <n v="0.22"/>
    <s v="Bank Transfer"/>
    <s v="Online"/>
    <x v="0"/>
    <n v="4190.83"/>
    <n v="1667.2300000000005"/>
    <n v="0.28460445949683005"/>
    <x v="8"/>
    <n v="2023"/>
  </r>
  <r>
    <n v="1039"/>
    <d v="2023-05-13T00:00:00"/>
    <s v="Eve"/>
    <x v="1"/>
    <n v="4422.4799999999996"/>
    <n v="40"/>
    <x v="0"/>
    <n v="3536.46"/>
    <n v="3945.82"/>
    <s v="New"/>
    <n v="0.24"/>
    <s v="Bank Transfer"/>
    <s v="Online"/>
    <x v="8"/>
    <n v="141458.4"/>
    <n v="-137035.91999999998"/>
    <n v="-30.986215878873391"/>
    <x v="10"/>
    <n v="2023"/>
  </r>
  <r>
    <n v="1002"/>
    <d v="2023-10-20T00:00:00"/>
    <s v="David"/>
    <x v="0"/>
    <n v="5842.88"/>
    <n v="30"/>
    <x v="2"/>
    <n v="4646.55"/>
    <n v="4784.28"/>
    <s v="Returning"/>
    <n v="0.1"/>
    <s v="Credit Card"/>
    <s v="Retail"/>
    <x v="11"/>
    <n v="139396.5"/>
    <n v="-133553.62"/>
    <n v="-22.857498356974641"/>
    <x v="7"/>
    <n v="2023"/>
  </r>
  <r>
    <n v="1003"/>
    <d v="2023-11-24T00:00:00"/>
    <s v="Eve"/>
    <x v="3"/>
    <n v="5215.3100000000004"/>
    <n v="11"/>
    <x v="1"/>
    <n v="3706.78"/>
    <n v="3862.26"/>
    <s v="New"/>
    <n v="0.22"/>
    <s v="Credit Card"/>
    <s v="Retail"/>
    <x v="14"/>
    <n v="40774.58"/>
    <n v="-35559.270000000004"/>
    <n v="-6.8182466622310089"/>
    <x v="8"/>
    <n v="2023"/>
  </r>
  <r>
    <n v="1056"/>
    <d v="2023-05-07T00:00:00"/>
    <s v="David"/>
    <x v="3"/>
    <n v="7611.88"/>
    <n v="28"/>
    <x v="2"/>
    <n v="1566.03"/>
    <n v="1576.34"/>
    <s v="Returning"/>
    <n v="0.2"/>
    <s v="Bank Transfer"/>
    <s v="Online"/>
    <x v="16"/>
    <n v="43848.84"/>
    <n v="-36236.959999999999"/>
    <n v="-4.7605795151789048"/>
    <x v="10"/>
    <n v="2023"/>
  </r>
  <r>
    <n v="1081"/>
    <d v="2023-04-16T00:00:00"/>
    <s v="Charlie"/>
    <x v="1"/>
    <n v="2896.71"/>
    <n v="44"/>
    <x v="3"/>
    <n v="1362.15"/>
    <n v="1844.07"/>
    <s v="New"/>
    <n v="0.28999999999999998"/>
    <s v="Credit Card"/>
    <s v="Online"/>
    <x v="5"/>
    <n v="59934.600000000006"/>
    <n v="-57037.890000000007"/>
    <n v="-19.690576550638486"/>
    <x v="1"/>
    <n v="2023"/>
  </r>
  <r>
    <n v="1059"/>
    <d v="2023-04-02T00:00:00"/>
    <s v="Eve"/>
    <x v="1"/>
    <n v="3595.2"/>
    <n v="12"/>
    <x v="1"/>
    <n v="3496.15"/>
    <n v="3955.75"/>
    <s v="Returning"/>
    <n v="0.28000000000000003"/>
    <s v="Cash"/>
    <s v="Retail"/>
    <x v="8"/>
    <n v="41953.8"/>
    <n v="-38358.600000000006"/>
    <n v="-10.669392523364488"/>
    <x v="1"/>
    <n v="2023"/>
  </r>
  <r>
    <n v="1002"/>
    <d v="2023-10-14T00:00:00"/>
    <s v="David"/>
    <x v="2"/>
    <n v="8951.5300000000007"/>
    <n v="39"/>
    <x v="2"/>
    <n v="1004.71"/>
    <n v="1389.35"/>
    <s v="New"/>
    <n v="0.24"/>
    <s v="Bank Transfer"/>
    <s v="Online"/>
    <x v="2"/>
    <n v="39183.69"/>
    <n v="-30232.160000000003"/>
    <n v="-3.377317620563189"/>
    <x v="7"/>
    <n v="2023"/>
  </r>
  <r>
    <n v="1002"/>
    <d v="2023-02-20T00:00:00"/>
    <s v="Charlie"/>
    <x v="1"/>
    <n v="9469.92"/>
    <n v="26"/>
    <x v="1"/>
    <n v="508.94"/>
    <n v="557.69000000000005"/>
    <s v="New"/>
    <n v="0.22"/>
    <s v="Credit Card"/>
    <s v="Retail"/>
    <x v="5"/>
    <n v="13232.44"/>
    <n v="-3762.5200000000004"/>
    <n v="-0.3973127544900063"/>
    <x v="0"/>
    <n v="2023"/>
  </r>
  <r>
    <n v="1092"/>
    <d v="2023-01-29T00:00:00"/>
    <s v="Bob"/>
    <x v="2"/>
    <n v="8936.33"/>
    <n v="13"/>
    <x v="2"/>
    <n v="2684.5"/>
    <n v="2913.78"/>
    <s v="New"/>
    <n v="0.08"/>
    <s v="Credit Card"/>
    <s v="Retail"/>
    <x v="3"/>
    <n v="34898.5"/>
    <n v="-25962.17"/>
    <n v="-2.9052385039496076"/>
    <x v="5"/>
    <n v="2023"/>
  </r>
  <r>
    <n v="1054"/>
    <d v="2023-10-23T00:00:00"/>
    <s v="David"/>
    <x v="3"/>
    <n v="4252.54"/>
    <n v="8"/>
    <x v="1"/>
    <n v="4117.13"/>
    <n v="4177.0600000000004"/>
    <s v="Returning"/>
    <n v="0.25"/>
    <s v="Bank Transfer"/>
    <s v="Retail"/>
    <x v="16"/>
    <n v="32937.040000000001"/>
    <n v="-28684.5"/>
    <n v="-6.7452628311550278"/>
    <x v="7"/>
    <n v="2023"/>
  </r>
  <r>
    <n v="1087"/>
    <d v="2023-10-24T00:00:00"/>
    <s v="Bob"/>
    <x v="3"/>
    <n v="7825.62"/>
    <n v="28"/>
    <x v="2"/>
    <n v="551.83000000000004"/>
    <n v="569.63"/>
    <s v="New"/>
    <n v="0.13"/>
    <s v="Credit Card"/>
    <s v="Retail"/>
    <x v="12"/>
    <n v="15451.240000000002"/>
    <n v="-7625.6200000000017"/>
    <n v="-0.97444291953864381"/>
    <x v="7"/>
    <n v="2023"/>
  </r>
  <r>
    <n v="1096"/>
    <d v="2023-08-02T00:00:00"/>
    <s v="Bob"/>
    <x v="0"/>
    <n v="4815.72"/>
    <n v="30"/>
    <x v="3"/>
    <n v="3969.86"/>
    <n v="4281.79"/>
    <s v="Returning"/>
    <n v="0.08"/>
    <s v="Bank Transfer"/>
    <s v="Retail"/>
    <x v="0"/>
    <n v="119095.8"/>
    <n v="-114280.08"/>
    <n v="-23.730632179611771"/>
    <x v="3"/>
    <n v="2023"/>
  </r>
  <r>
    <n v="1097"/>
    <d v="2023-09-24T00:00:00"/>
    <s v="Alice"/>
    <x v="3"/>
    <n v="5025.6400000000003"/>
    <n v="9"/>
    <x v="1"/>
    <n v="4067.28"/>
    <n v="4548.09"/>
    <s v="Returning"/>
    <n v="0.12"/>
    <s v="Credit Card"/>
    <s v="Retail"/>
    <x v="18"/>
    <n v="36605.520000000004"/>
    <n v="-31579.880000000005"/>
    <n v="-6.2837529150516156"/>
    <x v="2"/>
    <n v="2023"/>
  </r>
  <r>
    <n v="1001"/>
    <d v="2023-09-14T00:00:00"/>
    <s v="Eve"/>
    <x v="2"/>
    <n v="2126.33"/>
    <n v="39"/>
    <x v="1"/>
    <n v="2437.2600000000002"/>
    <n v="2889.67"/>
    <s v="Returning"/>
    <n v="0.25"/>
    <s v="Cash"/>
    <s v="Online"/>
    <x v="6"/>
    <n v="95053.140000000014"/>
    <n v="-92926.810000000012"/>
    <n v="-43.702910648864481"/>
    <x v="2"/>
    <n v="2023"/>
  </r>
  <r>
    <n v="1019"/>
    <d v="2023-10-29T00:00:00"/>
    <s v="David"/>
    <x v="1"/>
    <n v="5952.19"/>
    <n v="31"/>
    <x v="1"/>
    <n v="333.69"/>
    <n v="685.1"/>
    <s v="New"/>
    <n v="0.04"/>
    <s v="Bank Transfer"/>
    <s v="Online"/>
    <x v="13"/>
    <n v="10344.39"/>
    <n v="-4392.2"/>
    <n v="-0.73791327225777403"/>
    <x v="7"/>
    <n v="2023"/>
  </r>
  <r>
    <n v="1002"/>
    <d v="2023-04-11T00:00:00"/>
    <s v="Bob"/>
    <x v="0"/>
    <n v="1942.75"/>
    <n v="21"/>
    <x v="1"/>
    <n v="914.22"/>
    <n v="971.57"/>
    <s v="Returning"/>
    <n v="0.14000000000000001"/>
    <s v="Cash"/>
    <s v="Online"/>
    <x v="0"/>
    <n v="19198.62"/>
    <n v="-17255.87"/>
    <n v="-8.8821876206408437"/>
    <x v="1"/>
    <n v="2023"/>
  </r>
  <r>
    <n v="1053"/>
    <d v="2023-12-12T00:00:00"/>
    <s v="Alice"/>
    <x v="2"/>
    <n v="3382.49"/>
    <n v="47"/>
    <x v="3"/>
    <n v="3551.76"/>
    <n v="3696.1"/>
    <s v="Returning"/>
    <n v="0.15"/>
    <s v="Bank Transfer"/>
    <s v="Retail"/>
    <x v="9"/>
    <n v="166932.72"/>
    <n v="-163550.23000000001"/>
    <n v="-48.352021735467076"/>
    <x v="9"/>
    <n v="2023"/>
  </r>
  <r>
    <n v="1044"/>
    <d v="2023-04-20T00:00:00"/>
    <s v="Charlie"/>
    <x v="1"/>
    <n v="8564.7999999999993"/>
    <n v="34"/>
    <x v="1"/>
    <n v="3573.3"/>
    <n v="3740.13"/>
    <s v="Returning"/>
    <n v="0.01"/>
    <s v="Credit Card"/>
    <s v="Online"/>
    <x v="5"/>
    <n v="121492.20000000001"/>
    <n v="-112927.40000000001"/>
    <n v="-13.185059779562865"/>
    <x v="1"/>
    <n v="2023"/>
  </r>
  <r>
    <n v="1090"/>
    <d v="2023-07-01T00:00:00"/>
    <s v="David"/>
    <x v="0"/>
    <n v="2150.0500000000002"/>
    <n v="31"/>
    <x v="0"/>
    <n v="4496.8599999999997"/>
    <n v="4880.7999999999902"/>
    <s v="New"/>
    <n v="0.06"/>
    <s v="Cash"/>
    <s v="Retail"/>
    <x v="11"/>
    <n v="139402.66"/>
    <n v="-137252.61000000002"/>
    <n v="-63.836938675844749"/>
    <x v="11"/>
    <n v="2023"/>
  </r>
  <r>
    <n v="1032"/>
    <d v="2023-11-09T00:00:00"/>
    <s v="Bob"/>
    <x v="3"/>
    <n v="804.47"/>
    <n v="25"/>
    <x v="3"/>
    <n v="2934.3"/>
    <n v="3337.4"/>
    <s v="Returning"/>
    <n v="0.25"/>
    <s v="Credit Card"/>
    <s v="Retail"/>
    <x v="12"/>
    <n v="73357.5"/>
    <n v="-72553.03"/>
    <n v="-90.18736559473939"/>
    <x v="8"/>
    <n v="2023"/>
  </r>
  <r>
    <n v="1070"/>
    <d v="2023-01-01T00:00:00"/>
    <s v="Eve"/>
    <x v="2"/>
    <n v="783.18"/>
    <n v="12"/>
    <x v="0"/>
    <n v="664.33"/>
    <n v="863.03"/>
    <s v="Returning"/>
    <n v="0.25"/>
    <s v="Bank Transfer"/>
    <s v="Retail"/>
    <x v="6"/>
    <n v="7971.9600000000009"/>
    <n v="-7188.7800000000007"/>
    <n v="-9.1789626905692199"/>
    <x v="5"/>
    <n v="2023"/>
  </r>
  <r>
    <n v="1032"/>
    <d v="2023-11-15T00:00:00"/>
    <s v="Alice"/>
    <x v="1"/>
    <n v="9413.77"/>
    <n v="1"/>
    <x v="1"/>
    <n v="651"/>
    <n v="865.76"/>
    <s v="Returning"/>
    <n v="0.09"/>
    <s v="Bank Transfer"/>
    <s v="Retail"/>
    <x v="17"/>
    <n v="651"/>
    <n v="8762.77"/>
    <n v="0.93084598412750685"/>
    <x v="8"/>
    <n v="2023"/>
  </r>
  <r>
    <n v="1068"/>
    <d v="2023-02-24T00:00:00"/>
    <s v="Bob"/>
    <x v="0"/>
    <n v="5118.51"/>
    <n v="22"/>
    <x v="2"/>
    <n v="3619.61"/>
    <n v="3651.42"/>
    <s v="Returning"/>
    <n v="0.26"/>
    <s v="Bank Transfer"/>
    <s v="Online"/>
    <x v="0"/>
    <n v="79631.42"/>
    <n v="-74512.91"/>
    <n v="-14.557539205745423"/>
    <x v="0"/>
    <n v="2023"/>
  </r>
  <r>
    <n v="1055"/>
    <d v="2023-05-29T00:00:00"/>
    <s v="Eve"/>
    <x v="0"/>
    <n v="4153.18"/>
    <n v="40"/>
    <x v="0"/>
    <n v="959.73"/>
    <n v="1111.4100000000001"/>
    <s v="New"/>
    <n v="0.23"/>
    <s v="Bank Transfer"/>
    <s v="Online"/>
    <x v="7"/>
    <n v="38389.199999999997"/>
    <n v="-34236.019999999997"/>
    <n v="-8.2433268001868427"/>
    <x v="10"/>
    <n v="2023"/>
  </r>
  <r>
    <n v="1075"/>
    <d v="2023-11-05T00:00:00"/>
    <s v="Bob"/>
    <x v="3"/>
    <n v="8127.7"/>
    <n v="37"/>
    <x v="1"/>
    <n v="1675.51"/>
    <n v="1906.6399999999901"/>
    <s v="New"/>
    <n v="0.13"/>
    <s v="Bank Transfer"/>
    <s v="Online"/>
    <x v="12"/>
    <n v="61993.87"/>
    <n v="-53866.170000000006"/>
    <n v="-6.6274800989209748"/>
    <x v="8"/>
    <n v="2023"/>
  </r>
  <r>
    <n v="1056"/>
    <d v="2023-05-17T00:00:00"/>
    <s v="David"/>
    <x v="1"/>
    <n v="8374.68"/>
    <n v="47"/>
    <x v="0"/>
    <n v="2461.6999999999998"/>
    <n v="2529.02"/>
    <s v="Returning"/>
    <n v="0.22"/>
    <s v="Cash"/>
    <s v="Retail"/>
    <x v="13"/>
    <n v="115699.9"/>
    <n v="-107325.22"/>
    <n v="-12.815441306414096"/>
    <x v="10"/>
    <n v="2023"/>
  </r>
  <r>
    <n v="1017"/>
    <d v="2023-07-21T00:00:00"/>
    <s v="David"/>
    <x v="3"/>
    <n v="3388.69"/>
    <n v="1"/>
    <x v="1"/>
    <n v="172.59"/>
    <n v="404.69"/>
    <s v="Returning"/>
    <n v="0.28999999999999998"/>
    <s v="Bank Transfer"/>
    <s v="Online"/>
    <x v="16"/>
    <n v="172.59"/>
    <n v="3216.1"/>
    <n v="0.94906881420253841"/>
    <x v="11"/>
    <n v="2023"/>
  </r>
  <r>
    <n v="1038"/>
    <d v="2023-11-09T00:00:00"/>
    <s v="David"/>
    <x v="3"/>
    <n v="6966.82"/>
    <n v="1"/>
    <x v="1"/>
    <n v="1281.6500000000001"/>
    <n v="1709.71"/>
    <s v="Returning"/>
    <n v="0.14000000000000001"/>
    <s v="Credit Card"/>
    <s v="Online"/>
    <x v="16"/>
    <n v="1281.6500000000001"/>
    <n v="5685.17"/>
    <n v="0.81603514946560984"/>
    <x v="8"/>
    <n v="2023"/>
  </r>
  <r>
    <n v="1024"/>
    <d v="2023-04-27T00:00:00"/>
    <s v="Alice"/>
    <x v="1"/>
    <n v="7734.12"/>
    <n v="42"/>
    <x v="1"/>
    <n v="2069.0500000000002"/>
    <n v="2363.9"/>
    <s v="Returning"/>
    <n v="7.0000000000000007E-2"/>
    <s v="Cash"/>
    <s v="Online"/>
    <x v="17"/>
    <n v="86900.1"/>
    <n v="-79165.98000000001"/>
    <n v="-10.235938930350191"/>
    <x v="1"/>
    <n v="2023"/>
  </r>
  <r>
    <n v="1069"/>
    <d v="2023-06-03T00:00:00"/>
    <s v="David"/>
    <x v="1"/>
    <n v="6581.04"/>
    <n v="42"/>
    <x v="2"/>
    <n v="1434.2"/>
    <n v="1482.88"/>
    <s v="New"/>
    <n v="0.28000000000000003"/>
    <s v="Credit Card"/>
    <s v="Retail"/>
    <x v="13"/>
    <n v="60236.4"/>
    <n v="-53655.360000000001"/>
    <n v="-8.1530214069508773"/>
    <x v="6"/>
    <n v="2023"/>
  </r>
  <r>
    <n v="1098"/>
    <d v="2023-10-18T00:00:00"/>
    <s v="Eve"/>
    <x v="1"/>
    <n v="1600.79"/>
    <n v="21"/>
    <x v="0"/>
    <n v="725.03"/>
    <n v="828.94999999999902"/>
    <s v="New"/>
    <n v="0.18"/>
    <s v="Bank Transfer"/>
    <s v="Online"/>
    <x v="8"/>
    <n v="15225.63"/>
    <n v="-13624.84"/>
    <n v="-8.511322534498591"/>
    <x v="7"/>
    <n v="2023"/>
  </r>
  <r>
    <n v="1070"/>
    <d v="2023-03-04T00:00:00"/>
    <s v="Bob"/>
    <x v="2"/>
    <n v="8771.24"/>
    <n v="15"/>
    <x v="3"/>
    <n v="3653.66"/>
    <n v="3896.19"/>
    <s v="New"/>
    <n v="0.03"/>
    <s v="Credit Card"/>
    <s v="Retail"/>
    <x v="3"/>
    <n v="54804.899999999994"/>
    <n v="-46033.659999999996"/>
    <n v="-5.2482499623770407"/>
    <x v="4"/>
    <n v="2023"/>
  </r>
  <r>
    <n v="1086"/>
    <d v="2023-09-01T00:00:00"/>
    <s v="Charlie"/>
    <x v="1"/>
    <n v="5437.04"/>
    <n v="17"/>
    <x v="3"/>
    <n v="4075.08"/>
    <n v="4262.21"/>
    <s v="New"/>
    <n v="0.17"/>
    <s v="Cash"/>
    <s v="Online"/>
    <x v="5"/>
    <n v="69276.36"/>
    <n v="-63839.32"/>
    <n v="-11.741557906507953"/>
    <x v="2"/>
    <n v="2023"/>
  </r>
  <r>
    <n v="1011"/>
    <d v="2023-01-25T00:00:00"/>
    <s v="Eve"/>
    <x v="0"/>
    <n v="2896.48"/>
    <n v="22"/>
    <x v="3"/>
    <n v="1324.52"/>
    <n v="1510.3"/>
    <s v="Returning"/>
    <n v="0.15"/>
    <s v="Cash"/>
    <s v="Retail"/>
    <x v="7"/>
    <n v="29139.439999999999"/>
    <n v="-26242.959999999999"/>
    <n v="-9.0602938739435448"/>
    <x v="5"/>
    <n v="2023"/>
  </r>
  <r>
    <n v="1016"/>
    <d v="2023-03-31T00:00:00"/>
    <s v="Eve"/>
    <x v="3"/>
    <n v="4309.76"/>
    <n v="38"/>
    <x v="3"/>
    <n v="3883.38"/>
    <n v="4152.72"/>
    <s v="Returning"/>
    <n v="0.26"/>
    <s v="Cash"/>
    <s v="Online"/>
    <x v="14"/>
    <n v="147568.44"/>
    <n v="-143258.68"/>
    <n v="-33.24052383427383"/>
    <x v="4"/>
    <n v="2023"/>
  </r>
  <r>
    <n v="1097"/>
    <d v="2023-03-16T00:00:00"/>
    <s v="David"/>
    <x v="2"/>
    <n v="471.95"/>
    <n v="35"/>
    <x v="1"/>
    <n v="1958.49"/>
    <n v="2254.84"/>
    <s v="New"/>
    <n v="0.16"/>
    <s v="Credit Card"/>
    <s v="Online"/>
    <x v="2"/>
    <n v="68547.149999999994"/>
    <n v="-68075.199999999997"/>
    <n v="-144.2423985591694"/>
    <x v="4"/>
    <n v="2023"/>
  </r>
  <r>
    <n v="1073"/>
    <d v="2023-10-21T00:00:00"/>
    <s v="Alice"/>
    <x v="1"/>
    <n v="1365.88"/>
    <n v="45"/>
    <x v="0"/>
    <n v="2558.09"/>
    <n v="2958.55"/>
    <s v="New"/>
    <n v="0.08"/>
    <s v="Cash"/>
    <s v="Online"/>
    <x v="17"/>
    <n v="115114.05"/>
    <n v="-113748.17"/>
    <n v="-83.2783040969924"/>
    <x v="7"/>
    <n v="2023"/>
  </r>
  <r>
    <n v="1059"/>
    <d v="2023-07-29T00:00:00"/>
    <s v="Bob"/>
    <x v="2"/>
    <n v="7678.91"/>
    <n v="16"/>
    <x v="0"/>
    <n v="4287.21"/>
    <n v="4464.28"/>
    <s v="Returning"/>
    <n v="0.2"/>
    <s v="Credit Card"/>
    <s v="Retail"/>
    <x v="3"/>
    <n v="68595.360000000001"/>
    <n v="-60916.45"/>
    <n v="-7.932955328295292"/>
    <x v="11"/>
    <n v="2023"/>
  </r>
  <r>
    <n v="1070"/>
    <d v="2023-12-13T00:00:00"/>
    <s v="Alice"/>
    <x v="1"/>
    <n v="100.12"/>
    <n v="8"/>
    <x v="2"/>
    <n v="3762.27"/>
    <n v="4166.95"/>
    <s v="Returning"/>
    <n v="0.16"/>
    <s v="Bank Transfer"/>
    <s v="Online"/>
    <x v="17"/>
    <n v="30098.16"/>
    <n v="-29998.04"/>
    <n v="-299.62085497403115"/>
    <x v="9"/>
    <n v="2023"/>
  </r>
  <r>
    <n v="1080"/>
    <d v="2023-01-17T00:00:00"/>
    <s v="Bob"/>
    <x v="2"/>
    <n v="4224"/>
    <n v="47"/>
    <x v="0"/>
    <n v="4035.33"/>
    <n v="4211.25"/>
    <s v="Returning"/>
    <n v="7.0000000000000007E-2"/>
    <s v="Bank Transfer"/>
    <s v="Online"/>
    <x v="3"/>
    <n v="189660.51"/>
    <n v="-185436.51"/>
    <n v="-43.900688920454549"/>
    <x v="5"/>
    <n v="2023"/>
  </r>
  <r>
    <n v="1093"/>
    <d v="2023-05-08T00:00:00"/>
    <s v="Bob"/>
    <x v="3"/>
    <n v="5272.85"/>
    <n v="17"/>
    <x v="0"/>
    <n v="727.38"/>
    <n v="764.54"/>
    <s v="Returning"/>
    <n v="0.17"/>
    <s v="Credit Card"/>
    <s v="Retail"/>
    <x v="12"/>
    <n v="12365.46"/>
    <n v="-7092.6099999999988"/>
    <n v="-1.345118863612657"/>
    <x v="10"/>
    <n v="2023"/>
  </r>
  <r>
    <n v="1003"/>
    <d v="2023-12-30T00:00:00"/>
    <s v="Alice"/>
    <x v="3"/>
    <n v="640.88"/>
    <n v="17"/>
    <x v="0"/>
    <n v="395.11"/>
    <n v="676.66"/>
    <s v="Returning"/>
    <n v="0.25"/>
    <s v="Cash"/>
    <s v="Retail"/>
    <x v="18"/>
    <n v="6716.87"/>
    <n v="-6075.99"/>
    <n v="-9.4806984146798143"/>
    <x v="9"/>
    <n v="2023"/>
  </r>
  <r>
    <n v="1020"/>
    <d v="2023-09-08T00:00:00"/>
    <s v="Eve"/>
    <x v="0"/>
    <n v="9733.4699999999993"/>
    <n v="26"/>
    <x v="2"/>
    <n v="4472.3500000000004"/>
    <n v="4770.42"/>
    <s v="New"/>
    <n v="0.01"/>
    <s v="Credit Card"/>
    <s v="Retail"/>
    <x v="7"/>
    <n v="116281.1"/>
    <n v="-106547.63"/>
    <n v="-10.946520613922887"/>
    <x v="2"/>
    <n v="2023"/>
  </r>
  <r>
    <n v="1059"/>
    <d v="2023-06-28T00:00:00"/>
    <s v="Bob"/>
    <x v="0"/>
    <n v="2338.64"/>
    <n v="13"/>
    <x v="3"/>
    <n v="1969.78"/>
    <n v="2437.6999999999998"/>
    <s v="New"/>
    <n v="0.19"/>
    <s v="Credit Card"/>
    <s v="Retail"/>
    <x v="0"/>
    <n v="25607.14"/>
    <n v="-23268.5"/>
    <n v="-9.9495860842198898"/>
    <x v="6"/>
    <n v="2023"/>
  </r>
  <r>
    <n v="1036"/>
    <d v="2023-07-01T00:00:00"/>
    <s v="Alice"/>
    <x v="1"/>
    <n v="3111.57"/>
    <n v="17"/>
    <x v="0"/>
    <n v="1475"/>
    <n v="1840.77"/>
    <s v="Returning"/>
    <n v="0.1"/>
    <s v="Credit Card"/>
    <s v="Online"/>
    <x v="17"/>
    <n v="25075"/>
    <n v="-21963.43"/>
    <n v="-7.0586327802363433"/>
    <x v="11"/>
    <n v="2023"/>
  </r>
  <r>
    <n v="1019"/>
    <d v="2023-06-01T00:00:00"/>
    <s v="Bob"/>
    <x v="3"/>
    <n v="3109.03"/>
    <n v="38"/>
    <x v="2"/>
    <n v="3637.25"/>
    <n v="4096.96"/>
    <s v="Returning"/>
    <n v="0.09"/>
    <s v="Bank Transfer"/>
    <s v="Online"/>
    <x v="12"/>
    <n v="138215.5"/>
    <n v="-135106.47"/>
    <n v="-43.456148702328377"/>
    <x v="6"/>
    <n v="2023"/>
  </r>
  <r>
    <n v="1090"/>
    <d v="2023-01-25T00:00:00"/>
    <s v="Charlie"/>
    <x v="2"/>
    <n v="2381.12"/>
    <n v="17"/>
    <x v="2"/>
    <n v="4190.26"/>
    <n v="4645.3500000000004"/>
    <s v="New"/>
    <n v="0.12"/>
    <s v="Credit Card"/>
    <s v="Retail"/>
    <x v="10"/>
    <n v="71234.42"/>
    <n v="-68853.3"/>
    <n v="-28.916350288939661"/>
    <x v="5"/>
    <n v="2023"/>
  </r>
  <r>
    <n v="1067"/>
    <d v="2023-06-29T00:00:00"/>
    <s v="Eve"/>
    <x v="2"/>
    <n v="114.59"/>
    <n v="48"/>
    <x v="1"/>
    <n v="4319.32"/>
    <n v="4625.5599999999904"/>
    <s v="Returning"/>
    <n v="0.1"/>
    <s v="Bank Transfer"/>
    <s v="Online"/>
    <x v="6"/>
    <n v="207327.35999999999"/>
    <n v="-207212.77"/>
    <n v="-1808.2971463478486"/>
    <x v="6"/>
    <n v="2023"/>
  </r>
  <r>
    <n v="1019"/>
    <d v="2023-07-17T00:00:00"/>
    <s v="David"/>
    <x v="2"/>
    <n v="7320.51"/>
    <n v="14"/>
    <x v="2"/>
    <n v="1614.19"/>
    <n v="1882.79"/>
    <s v="New"/>
    <n v="0.25"/>
    <s v="Credit Card"/>
    <s v="Retail"/>
    <x v="2"/>
    <n v="22598.66"/>
    <n v="-15278.15"/>
    <n v="-2.087033553673173"/>
    <x v="11"/>
    <n v="2023"/>
  </r>
  <r>
    <n v="1020"/>
    <d v="2023-12-10T00:00:00"/>
    <s v="Bob"/>
    <x v="0"/>
    <n v="9671.77"/>
    <n v="45"/>
    <x v="3"/>
    <n v="4268.45"/>
    <n v="4551.5999999999904"/>
    <s v="New"/>
    <n v="0.08"/>
    <s v="Bank Transfer"/>
    <s v="Online"/>
    <x v="0"/>
    <n v="192080.25"/>
    <n v="-182408.48"/>
    <n v="-18.859886039473643"/>
    <x v="9"/>
    <n v="2023"/>
  </r>
  <r>
    <n v="1096"/>
    <d v="2023-06-10T00:00:00"/>
    <s v="Charlie"/>
    <x v="2"/>
    <n v="2320.5100000000002"/>
    <n v="6"/>
    <x v="0"/>
    <n v="252.62"/>
    <n v="742"/>
    <s v="New"/>
    <n v="0.22"/>
    <s v="Credit Card"/>
    <s v="Retail"/>
    <x v="10"/>
    <n v="1515.72"/>
    <n v="804.79000000000019"/>
    <n v="0.34681600165480869"/>
    <x v="6"/>
    <n v="2023"/>
  </r>
  <r>
    <n v="1071"/>
    <d v="2023-06-26T00:00:00"/>
    <s v="David"/>
    <x v="0"/>
    <n v="6664.17"/>
    <n v="35"/>
    <x v="2"/>
    <n v="295.82"/>
    <n v="684.67"/>
    <s v="New"/>
    <n v="0.03"/>
    <s v="Credit Card"/>
    <s v="Online"/>
    <x v="11"/>
    <n v="10353.699999999999"/>
    <n v="-3689.5299999999988"/>
    <n v="-0.55363683699545463"/>
    <x v="6"/>
    <n v="2023"/>
  </r>
  <r>
    <n v="1052"/>
    <d v="2023-10-12T00:00:00"/>
    <s v="David"/>
    <x v="0"/>
    <n v="7444.77"/>
    <n v="46"/>
    <x v="3"/>
    <n v="3136.42"/>
    <n v="3198.49"/>
    <s v="Returning"/>
    <n v="0.28999999999999998"/>
    <s v="Cash"/>
    <s v="Retail"/>
    <x v="11"/>
    <n v="144275.32"/>
    <n v="-136830.55000000002"/>
    <n v="-18.379419377630203"/>
    <x v="7"/>
    <n v="2023"/>
  </r>
  <r>
    <n v="1033"/>
    <d v="2023-03-04T00:00:00"/>
    <s v="Bob"/>
    <x v="1"/>
    <n v="8499.41"/>
    <n v="14"/>
    <x v="2"/>
    <n v="362.38"/>
    <n v="753.81"/>
    <s v="Returning"/>
    <n v="0.19"/>
    <s v="Cash"/>
    <s v="Retail"/>
    <x v="1"/>
    <n v="5073.32"/>
    <n v="3426.09"/>
    <n v="0.40309739146599588"/>
    <x v="4"/>
    <n v="2023"/>
  </r>
  <r>
    <n v="1040"/>
    <d v="2023-05-30T00:00:00"/>
    <s v="Alice"/>
    <x v="2"/>
    <n v="4284.03"/>
    <n v="47"/>
    <x v="2"/>
    <n v="1656.82"/>
    <n v="1750.3799999999901"/>
    <s v="New"/>
    <n v="0.21"/>
    <s v="Credit Card"/>
    <s v="Online"/>
    <x v="9"/>
    <n v="77870.539999999994"/>
    <n v="-73586.509999999995"/>
    <n v="-17.176936202594288"/>
    <x v="10"/>
    <n v="2023"/>
  </r>
  <r>
    <n v="1039"/>
    <d v="2023-06-03T00:00:00"/>
    <s v="Bob"/>
    <x v="2"/>
    <n v="3099.02"/>
    <n v="8"/>
    <x v="2"/>
    <n v="3380.14"/>
    <n v="3609.3399999999901"/>
    <s v="Returning"/>
    <n v="0.09"/>
    <s v="Credit Card"/>
    <s v="Online"/>
    <x v="3"/>
    <n v="27041.119999999999"/>
    <n v="-23942.1"/>
    <n v="-7.7257003827016275"/>
    <x v="6"/>
    <n v="2023"/>
  </r>
  <r>
    <n v="1082"/>
    <d v="2023-06-05T00:00:00"/>
    <s v="Charlie"/>
    <x v="3"/>
    <n v="3320.42"/>
    <n v="15"/>
    <x v="2"/>
    <n v="1719.47"/>
    <n v="1832.6"/>
    <s v="Returning"/>
    <n v="0.12"/>
    <s v="Credit Card"/>
    <s v="Online"/>
    <x v="4"/>
    <n v="25792.05"/>
    <n v="-22471.629999999997"/>
    <n v="-6.7677070972949194"/>
    <x v="6"/>
    <n v="2023"/>
  </r>
  <r>
    <n v="1001"/>
    <d v="2023-02-18T00:00:00"/>
    <s v="David"/>
    <x v="1"/>
    <n v="7154.95"/>
    <n v="27"/>
    <x v="2"/>
    <n v="939.02"/>
    <n v="1286.92"/>
    <s v="Returning"/>
    <n v="7.0000000000000007E-2"/>
    <s v="Credit Card"/>
    <s v="Retail"/>
    <x v="13"/>
    <n v="25353.54"/>
    <n v="-18198.59"/>
    <n v="-2.5434964604923866"/>
    <x v="0"/>
    <n v="2023"/>
  </r>
  <r>
    <n v="1011"/>
    <d v="2023-12-03T00:00:00"/>
    <s v="Bob"/>
    <x v="3"/>
    <n v="8186.12"/>
    <n v="13"/>
    <x v="3"/>
    <n v="1442.69"/>
    <n v="1882.57"/>
    <s v="Returning"/>
    <n v="0.28000000000000003"/>
    <s v="Cash"/>
    <s v="Online"/>
    <x v="12"/>
    <n v="18754.97"/>
    <n v="-10568.850000000002"/>
    <n v="-1.2910695176713758"/>
    <x v="9"/>
    <n v="2023"/>
  </r>
  <r>
    <n v="1092"/>
    <d v="2023-03-25T00:00:00"/>
    <s v="Alice"/>
    <x v="1"/>
    <n v="1897.98"/>
    <n v="49"/>
    <x v="0"/>
    <n v="2315"/>
    <n v="2467.2800000000002"/>
    <s v="New"/>
    <n v="0.15"/>
    <s v="Bank Transfer"/>
    <s v="Retail"/>
    <x v="17"/>
    <n v="113435"/>
    <n v="-111537.02"/>
    <n v="-58.766172457033271"/>
    <x v="4"/>
    <n v="2023"/>
  </r>
  <r>
    <n v="1057"/>
    <d v="2023-12-27T00:00:00"/>
    <s v="Bob"/>
    <x v="2"/>
    <n v="3772.32"/>
    <n v="31"/>
    <x v="0"/>
    <n v="2403.16"/>
    <n v="2453.35"/>
    <s v="Returning"/>
    <n v="0.19"/>
    <s v="Credit Card"/>
    <s v="Online"/>
    <x v="3"/>
    <n v="74497.959999999992"/>
    <n v="-70725.639999999985"/>
    <n v="-18.748579123722266"/>
    <x v="9"/>
    <n v="2023"/>
  </r>
  <r>
    <n v="1089"/>
    <d v="2023-06-26T00:00:00"/>
    <s v="Eve"/>
    <x v="0"/>
    <n v="9029.2099999999991"/>
    <n v="35"/>
    <x v="0"/>
    <n v="3925.85"/>
    <n v="4082.1099999999901"/>
    <s v="New"/>
    <n v="0.22"/>
    <s v="Cash"/>
    <s v="Online"/>
    <x v="7"/>
    <n v="137404.75"/>
    <n v="-128375.54000000001"/>
    <n v="-14.217804215429702"/>
    <x v="6"/>
    <n v="2023"/>
  </r>
  <r>
    <n v="1050"/>
    <d v="2023-05-28T00:00:00"/>
    <s v="Alice"/>
    <x v="0"/>
    <n v="8086.27"/>
    <n v="6"/>
    <x v="0"/>
    <n v="3763.26"/>
    <n v="4102.72"/>
    <s v="New"/>
    <n v="0.11"/>
    <s v="Credit Card"/>
    <s v="Retail"/>
    <x v="15"/>
    <n v="22579.56"/>
    <n v="-14493.29"/>
    <n v="-1.7923331771014324"/>
    <x v="10"/>
    <n v="2023"/>
  </r>
  <r>
    <n v="1023"/>
    <d v="2023-04-28T00:00:00"/>
    <s v="Charlie"/>
    <x v="0"/>
    <n v="9850.1"/>
    <n v="5"/>
    <x v="3"/>
    <n v="2311.25"/>
    <n v="2482.34"/>
    <s v="Returning"/>
    <n v="0.22"/>
    <s v="Credit Card"/>
    <s v="Retail"/>
    <x v="19"/>
    <n v="11556.25"/>
    <n v="-1706.1499999999996"/>
    <n v="-0.17321143947777176"/>
    <x v="1"/>
    <n v="2023"/>
  </r>
  <r>
    <n v="1031"/>
    <d v="2023-12-08T00:00:00"/>
    <s v="David"/>
    <x v="0"/>
    <n v="7567.06"/>
    <n v="22"/>
    <x v="1"/>
    <n v="4236.05"/>
    <n v="4382.32"/>
    <s v="New"/>
    <n v="0.2"/>
    <s v="Bank Transfer"/>
    <s v="Online"/>
    <x v="11"/>
    <n v="93193.1"/>
    <n v="-85626.040000000008"/>
    <n v="-11.315628526799047"/>
    <x v="9"/>
    <n v="2023"/>
  </r>
  <r>
    <n v="1094"/>
    <d v="2023-03-04T00:00:00"/>
    <s v="Bob"/>
    <x v="0"/>
    <n v="3992.63"/>
    <n v="49"/>
    <x v="1"/>
    <n v="615.47"/>
    <n v="715.84"/>
    <s v="Returning"/>
    <n v="0.21"/>
    <s v="Credit Card"/>
    <s v="Retail"/>
    <x v="0"/>
    <n v="30158.030000000002"/>
    <n v="-26165.4"/>
    <n v="-6.5534246849820796"/>
    <x v="4"/>
    <n v="2023"/>
  </r>
  <r>
    <n v="1042"/>
    <d v="2023-07-08T00:00:00"/>
    <s v="Alice"/>
    <x v="3"/>
    <n v="5947.31"/>
    <n v="23"/>
    <x v="3"/>
    <n v="1314"/>
    <n v="1567.78"/>
    <s v="Returning"/>
    <n v="0.15"/>
    <s v="Credit Card"/>
    <s v="Retail"/>
    <x v="18"/>
    <n v="30222"/>
    <n v="-24274.69"/>
    <n v="-4.0816251380876389"/>
    <x v="11"/>
    <n v="2023"/>
  </r>
  <r>
    <n v="1099"/>
    <d v="2023-12-26T00:00:00"/>
    <s v="Eve"/>
    <x v="1"/>
    <n v="6644.04"/>
    <n v="25"/>
    <x v="3"/>
    <n v="4148.4799999999996"/>
    <n v="4293.6899999999996"/>
    <s v="New"/>
    <n v="0.11"/>
    <s v="Bank Transfer"/>
    <s v="Online"/>
    <x v="8"/>
    <n v="103711.99999999999"/>
    <n v="-97067.959999999992"/>
    <n v="-14.609779591935027"/>
    <x v="9"/>
    <n v="2023"/>
  </r>
  <r>
    <n v="1007"/>
    <d v="2023-02-18T00:00:00"/>
    <s v="Alice"/>
    <x v="2"/>
    <n v="876.71"/>
    <n v="34"/>
    <x v="2"/>
    <n v="1921.07"/>
    <n v="2289.27"/>
    <s v="Returning"/>
    <n v="7.0000000000000007E-2"/>
    <s v="Bank Transfer"/>
    <s v="Retail"/>
    <x v="9"/>
    <n v="65316.38"/>
    <n v="-64439.67"/>
    <n v="-73.501693832624241"/>
    <x v="0"/>
    <n v="2023"/>
  </r>
  <r>
    <n v="1016"/>
    <d v="2023-11-23T00:00:00"/>
    <s v="Eve"/>
    <x v="3"/>
    <n v="5490.52"/>
    <n v="26"/>
    <x v="2"/>
    <n v="4906.8500000000004"/>
    <n v="4954.3900000000003"/>
    <s v="New"/>
    <n v="0.25"/>
    <s v="Bank Transfer"/>
    <s v="Online"/>
    <x v="14"/>
    <n v="127578.1"/>
    <n v="-122087.58"/>
    <n v="-22.236068714802968"/>
    <x v="8"/>
    <n v="2023"/>
  </r>
  <r>
    <n v="1090"/>
    <d v="2023-09-14T00:00:00"/>
    <s v="Charlie"/>
    <x v="1"/>
    <n v="7122.28"/>
    <n v="47"/>
    <x v="2"/>
    <n v="2357.9499999999998"/>
    <n v="2693.33"/>
    <s v="New"/>
    <n v="0.18"/>
    <s v="Bank Transfer"/>
    <s v="Online"/>
    <x v="5"/>
    <n v="110823.65"/>
    <n v="-103701.37"/>
    <n v="-14.560136641637229"/>
    <x v="2"/>
    <n v="2023"/>
  </r>
  <r>
    <n v="1060"/>
    <d v="2023-08-12T00:00:00"/>
    <s v="David"/>
    <x v="0"/>
    <n v="1756.48"/>
    <n v="5"/>
    <x v="0"/>
    <n v="3970.08"/>
    <n v="4096.4799999999996"/>
    <s v="Returning"/>
    <n v="0.13"/>
    <s v="Cash"/>
    <s v="Retail"/>
    <x v="11"/>
    <n v="19850.400000000001"/>
    <n v="-18093.920000000002"/>
    <n v="-10.301238841319003"/>
    <x v="3"/>
    <n v="2023"/>
  </r>
  <r>
    <n v="1002"/>
    <d v="2023-05-21T00:00:00"/>
    <s v="Charlie"/>
    <x v="1"/>
    <n v="7828.25"/>
    <n v="26"/>
    <x v="2"/>
    <n v="2041.42"/>
    <n v="2291.17"/>
    <s v="Returning"/>
    <n v="0.28000000000000003"/>
    <s v="Cash"/>
    <s v="Online"/>
    <x v="5"/>
    <n v="53076.92"/>
    <n v="-45248.67"/>
    <n v="-5.780176923322581"/>
    <x v="10"/>
    <n v="2023"/>
  </r>
  <r>
    <n v="1001"/>
    <d v="2023-08-03T00:00:00"/>
    <s v="Bob"/>
    <x v="1"/>
    <n v="5879.35"/>
    <n v="20"/>
    <x v="1"/>
    <n v="2153.52"/>
    <n v="2303.6999999999998"/>
    <s v="Returning"/>
    <n v="0.01"/>
    <s v="Cash"/>
    <s v="Retail"/>
    <x v="1"/>
    <n v="43070.400000000001"/>
    <n v="-37191.050000000003"/>
    <n v="-6.3257077738185341"/>
    <x v="3"/>
    <n v="2023"/>
  </r>
  <r>
    <n v="1048"/>
    <d v="2023-07-30T00:00:00"/>
    <s v="Alice"/>
    <x v="0"/>
    <n v="9527"/>
    <n v="6"/>
    <x v="0"/>
    <n v="1945.27"/>
    <n v="2309.4299999999998"/>
    <s v="New"/>
    <n v="0.26"/>
    <s v="Credit Card"/>
    <s v="Online"/>
    <x v="15"/>
    <n v="11671.619999999999"/>
    <n v="-2144.619999999999"/>
    <n v="-0.22510968825443467"/>
    <x v="11"/>
    <n v="2023"/>
  </r>
  <r>
    <n v="1012"/>
    <d v="2023-11-14T00:00:00"/>
    <s v="Eve"/>
    <x v="0"/>
    <n v="519.98"/>
    <n v="6"/>
    <x v="2"/>
    <n v="3609.42"/>
    <n v="4082.62"/>
    <s v="Returning"/>
    <n v="0.3"/>
    <s v="Bank Transfer"/>
    <s v="Retail"/>
    <x v="7"/>
    <n v="21656.52"/>
    <n v="-21136.54"/>
    <n v="-40.648755721373902"/>
    <x v="8"/>
    <n v="2023"/>
  </r>
  <r>
    <n v="1069"/>
    <d v="2023-02-01T00:00:00"/>
    <s v="Eve"/>
    <x v="0"/>
    <n v="2726.73"/>
    <n v="18"/>
    <x v="0"/>
    <n v="2760.21"/>
    <n v="3219.58"/>
    <s v="New"/>
    <n v="0.27"/>
    <s v="Bank Transfer"/>
    <s v="Retail"/>
    <x v="7"/>
    <n v="49683.78"/>
    <n v="-46957.049999999996"/>
    <n v="-17.221011981384294"/>
    <x v="0"/>
    <n v="2023"/>
  </r>
  <r>
    <n v="1037"/>
    <d v="2023-06-07T00:00:00"/>
    <s v="Alice"/>
    <x v="2"/>
    <n v="6055.38"/>
    <n v="4"/>
    <x v="1"/>
    <n v="4721.7"/>
    <n v="5017.58"/>
    <s v="New"/>
    <n v="0.24"/>
    <s v="Cash"/>
    <s v="Retail"/>
    <x v="9"/>
    <n v="18886.8"/>
    <n v="-12831.419999999998"/>
    <n v="-2.1190115236368317"/>
    <x v="6"/>
    <n v="2023"/>
  </r>
  <r>
    <n v="1032"/>
    <d v="2023-10-12T00:00:00"/>
    <s v="Alice"/>
    <x v="0"/>
    <n v="3035.94"/>
    <n v="17"/>
    <x v="2"/>
    <n v="1291.9100000000001"/>
    <n v="1528.59"/>
    <s v="Returning"/>
    <n v="0.11"/>
    <s v="Credit Card"/>
    <s v="Retail"/>
    <x v="15"/>
    <n v="21962.47"/>
    <n v="-18926.530000000002"/>
    <n v="-6.2341581190669126"/>
    <x v="7"/>
    <n v="2023"/>
  </r>
  <r>
    <n v="1009"/>
    <d v="2023-11-01T00:00:00"/>
    <s v="Bob"/>
    <x v="2"/>
    <n v="7172.8"/>
    <n v="14"/>
    <x v="1"/>
    <n v="547.79"/>
    <n v="958.76"/>
    <s v="Returning"/>
    <n v="7.0000000000000007E-2"/>
    <s v="Credit Card"/>
    <s v="Retail"/>
    <x v="3"/>
    <n v="7669.0599999999995"/>
    <n v="-496.25999999999931"/>
    <n v="-6.9186370733883465E-2"/>
    <x v="8"/>
    <n v="2023"/>
  </r>
  <r>
    <n v="1099"/>
    <d v="2023-10-13T00:00:00"/>
    <s v="Charlie"/>
    <x v="0"/>
    <n v="7614.15"/>
    <n v="14"/>
    <x v="1"/>
    <n v="1996.64"/>
    <n v="2341.4699999999998"/>
    <s v="Returning"/>
    <n v="0.22"/>
    <s v="Credit Card"/>
    <s v="Online"/>
    <x v="19"/>
    <n v="27952.960000000003"/>
    <n v="-20338.810000000005"/>
    <n v="-2.6711858841761726"/>
    <x v="7"/>
    <n v="2023"/>
  </r>
  <r>
    <n v="1019"/>
    <d v="2023-05-24T00:00:00"/>
    <s v="Eve"/>
    <x v="2"/>
    <n v="1114.9100000000001"/>
    <n v="13"/>
    <x v="1"/>
    <n v="3102.73"/>
    <n v="3202.68"/>
    <s v="New"/>
    <n v="0.09"/>
    <s v="Cash"/>
    <s v="Online"/>
    <x v="6"/>
    <n v="40335.49"/>
    <n v="-39220.579999999994"/>
    <n v="-35.178247571552852"/>
    <x v="10"/>
    <n v="2023"/>
  </r>
  <r>
    <n v="1048"/>
    <d v="2023-01-19T00:00:00"/>
    <s v="Bob"/>
    <x v="1"/>
    <n v="5187.16"/>
    <n v="7"/>
    <x v="2"/>
    <n v="4310.95"/>
    <n v="4723.2"/>
    <s v="Returning"/>
    <n v="0.05"/>
    <s v="Credit Card"/>
    <s v="Retail"/>
    <x v="1"/>
    <n v="30176.649999999998"/>
    <n v="-24989.489999999998"/>
    <n v="-4.8175668381156544"/>
    <x v="5"/>
    <n v="2023"/>
  </r>
  <r>
    <n v="1080"/>
    <d v="2023-01-18T00:00:00"/>
    <s v="Charlie"/>
    <x v="3"/>
    <n v="5138.0200000000004"/>
    <n v="44"/>
    <x v="3"/>
    <n v="1763.67"/>
    <n v="1983.82"/>
    <s v="New"/>
    <n v="0.24"/>
    <s v="Credit Card"/>
    <s v="Online"/>
    <x v="4"/>
    <n v="77601.48000000001"/>
    <n v="-72463.460000000006"/>
    <n v="-14.10338223673711"/>
    <x v="5"/>
    <n v="2023"/>
  </r>
  <r>
    <n v="1003"/>
    <d v="2023-09-14T00:00:00"/>
    <s v="Bob"/>
    <x v="1"/>
    <n v="3755.88"/>
    <n v="15"/>
    <x v="2"/>
    <n v="3286.24"/>
    <n v="3388.8399999999901"/>
    <s v="Returning"/>
    <n v="0.09"/>
    <s v="Credit Card"/>
    <s v="Retail"/>
    <x v="1"/>
    <n v="49293.599999999999"/>
    <n v="-45537.72"/>
    <n v="-12.12438097063804"/>
    <x v="2"/>
    <n v="2023"/>
  </r>
  <r>
    <n v="1020"/>
    <d v="2023-03-19T00:00:00"/>
    <s v="Eve"/>
    <x v="1"/>
    <n v="9335.9599999999991"/>
    <n v="19"/>
    <x v="1"/>
    <n v="1783.48"/>
    <n v="1931.56"/>
    <s v="Returning"/>
    <n v="0.27"/>
    <s v="Bank Transfer"/>
    <s v="Retail"/>
    <x v="8"/>
    <n v="33886.120000000003"/>
    <n v="-24550.160000000003"/>
    <n v="-2.629634231509133"/>
    <x v="4"/>
    <n v="2023"/>
  </r>
  <r>
    <n v="1024"/>
    <d v="2023-06-24T00:00:00"/>
    <s v="Alice"/>
    <x v="0"/>
    <n v="8292.31"/>
    <n v="43"/>
    <x v="2"/>
    <n v="3105.24"/>
    <n v="3246.33"/>
    <s v="New"/>
    <n v="0.25"/>
    <s v="Cash"/>
    <s v="Online"/>
    <x v="15"/>
    <n v="133525.31999999998"/>
    <n v="-125233.00999999998"/>
    <n v="-15.102306836092716"/>
    <x v="6"/>
    <n v="2023"/>
  </r>
  <r>
    <n v="1054"/>
    <d v="2023-07-13T00:00:00"/>
    <s v="Alice"/>
    <x v="2"/>
    <n v="7002.37"/>
    <n v="47"/>
    <x v="1"/>
    <n v="4429.8"/>
    <n v="4694.21"/>
    <s v="New"/>
    <n v="0.25"/>
    <s v="Bank Transfer"/>
    <s v="Online"/>
    <x v="9"/>
    <n v="208200.6"/>
    <n v="-201198.23"/>
    <n v="-28.732876154787597"/>
    <x v="11"/>
    <n v="2023"/>
  </r>
  <r>
    <n v="1033"/>
    <d v="2023-04-23T00:00:00"/>
    <s v="Charlie"/>
    <x v="3"/>
    <n v="7171.83"/>
    <n v="44"/>
    <x v="3"/>
    <n v="1195.22"/>
    <n v="1320.06"/>
    <s v="Returning"/>
    <n v="0.23"/>
    <s v="Bank Transfer"/>
    <s v="Retail"/>
    <x v="4"/>
    <n v="52589.68"/>
    <n v="-45417.85"/>
    <n v="-6.3328118485797908"/>
    <x v="1"/>
    <n v="2023"/>
  </r>
  <r>
    <n v="1024"/>
    <d v="2023-04-24T00:00:00"/>
    <s v="David"/>
    <x v="0"/>
    <n v="4670.99"/>
    <n v="35"/>
    <x v="0"/>
    <n v="2051"/>
    <n v="2121.5500000000002"/>
    <s v="Returning"/>
    <n v="0.26"/>
    <s v="Cash"/>
    <s v="Retail"/>
    <x v="11"/>
    <n v="71785"/>
    <n v="-67114.009999999995"/>
    <n v="-14.368262402617004"/>
    <x v="1"/>
    <n v="2023"/>
  </r>
  <r>
    <n v="1075"/>
    <d v="2023-08-10T00:00:00"/>
    <s v="Charlie"/>
    <x v="0"/>
    <n v="9217.85"/>
    <n v="17"/>
    <x v="3"/>
    <n v="4966.66"/>
    <n v="5037.2699999999904"/>
    <s v="Returning"/>
    <n v="0.24"/>
    <s v="Bank Transfer"/>
    <s v="Retail"/>
    <x v="19"/>
    <n v="84433.22"/>
    <n v="-75215.37"/>
    <n v="-8.1597520029074015"/>
    <x v="3"/>
    <n v="2023"/>
  </r>
  <r>
    <n v="1072"/>
    <d v="2023-06-15T00:00:00"/>
    <s v="David"/>
    <x v="0"/>
    <n v="6976.49"/>
    <n v="35"/>
    <x v="3"/>
    <n v="4349.3599999999997"/>
    <n v="4645.17"/>
    <s v="Returning"/>
    <n v="0.18"/>
    <s v="Credit Card"/>
    <s v="Retail"/>
    <x v="11"/>
    <n v="152227.59999999998"/>
    <n v="-145251.10999999999"/>
    <n v="-20.820084311738423"/>
    <x v="6"/>
    <n v="2023"/>
  </r>
  <r>
    <n v="1036"/>
    <d v="2023-11-15T00:00:00"/>
    <s v="Bob"/>
    <x v="1"/>
    <n v="7316.91"/>
    <n v="19"/>
    <x v="0"/>
    <n v="2844.97"/>
    <n v="3215"/>
    <s v="Returning"/>
    <n v="0.09"/>
    <s v="Credit Card"/>
    <s v="Retail"/>
    <x v="1"/>
    <n v="54054.429999999993"/>
    <n v="-46737.51999999999"/>
    <n v="-6.3876035102249435"/>
    <x v="8"/>
    <n v="2023"/>
  </r>
  <r>
    <n v="1038"/>
    <d v="2023-05-12T00:00:00"/>
    <s v="Bob"/>
    <x v="2"/>
    <n v="8630.74"/>
    <n v="20"/>
    <x v="2"/>
    <n v="2607.31"/>
    <n v="2774.86"/>
    <s v="New"/>
    <n v="0.27"/>
    <s v="Credit Card"/>
    <s v="Retail"/>
    <x v="3"/>
    <n v="52146.2"/>
    <n v="-43515.46"/>
    <n v="-5.0419152934742559"/>
    <x v="10"/>
    <n v="2023"/>
  </r>
  <r>
    <n v="1084"/>
    <d v="2023-09-21T00:00:00"/>
    <s v="Eve"/>
    <x v="2"/>
    <n v="2813.31"/>
    <n v="36"/>
    <x v="0"/>
    <n v="1458.77"/>
    <n v="1485.75"/>
    <s v="New"/>
    <n v="0.25"/>
    <s v="Credit Card"/>
    <s v="Online"/>
    <x v="6"/>
    <n v="52515.72"/>
    <n v="-49702.41"/>
    <n v="-17.66687993857769"/>
    <x v="2"/>
    <n v="2023"/>
  </r>
  <r>
    <n v="1099"/>
    <d v="2023-02-24T00:00:00"/>
    <s v="David"/>
    <x v="3"/>
    <n v="8090"/>
    <n v="35"/>
    <x v="2"/>
    <n v="2610.19"/>
    <n v="2682.53"/>
    <s v="New"/>
    <n v="0.14000000000000001"/>
    <s v="Cash"/>
    <s v="Retail"/>
    <x v="16"/>
    <n v="91356.650000000009"/>
    <n v="-83266.650000000009"/>
    <n v="-10.292540173053153"/>
    <x v="0"/>
    <n v="2023"/>
  </r>
  <r>
    <n v="1089"/>
    <d v="2023-12-25T00:00:00"/>
    <s v="Eve"/>
    <x v="2"/>
    <n v="2032.88"/>
    <n v="32"/>
    <x v="2"/>
    <n v="4248.5"/>
    <n v="4706.7"/>
    <s v="New"/>
    <n v="0.01"/>
    <s v="Bank Transfer"/>
    <s v="Retail"/>
    <x v="6"/>
    <n v="135952"/>
    <n v="-133919.12"/>
    <n v="-65.876549525795909"/>
    <x v="9"/>
    <n v="2023"/>
  </r>
  <r>
    <n v="1099"/>
    <d v="2023-05-11T00:00:00"/>
    <s v="Alice"/>
    <x v="2"/>
    <n v="3518.89"/>
    <n v="48"/>
    <x v="1"/>
    <n v="3441.61"/>
    <n v="3693.45"/>
    <s v="Returning"/>
    <n v="0.19"/>
    <s v="Bank Transfer"/>
    <s v="Online"/>
    <x v="9"/>
    <n v="165197.28"/>
    <n v="-161678.38999999998"/>
    <n v="-45.945849401373728"/>
    <x v="10"/>
    <n v="2023"/>
  </r>
  <r>
    <n v="1025"/>
    <d v="2023-10-15T00:00:00"/>
    <s v="David"/>
    <x v="0"/>
    <n v="3422.54"/>
    <n v="44"/>
    <x v="1"/>
    <n v="1485.72"/>
    <n v="1717.97"/>
    <s v="New"/>
    <n v="0.02"/>
    <s v="Credit Card"/>
    <s v="Retail"/>
    <x v="11"/>
    <n v="65371.68"/>
    <n v="-61949.14"/>
    <n v="-18.100340682650895"/>
    <x v="7"/>
    <n v="2023"/>
  </r>
  <r>
    <n v="1093"/>
    <d v="2023-09-23T00:00:00"/>
    <s v="Charlie"/>
    <x v="0"/>
    <n v="9787.4"/>
    <n v="40"/>
    <x v="0"/>
    <n v="1047.25"/>
    <n v="1075.8900000000001"/>
    <s v="New"/>
    <n v="0.28000000000000003"/>
    <s v="Credit Card"/>
    <s v="Retail"/>
    <x v="19"/>
    <n v="41890"/>
    <n v="-32102.6"/>
    <n v="-3.2799926436029998"/>
    <x v="2"/>
    <n v="2023"/>
  </r>
  <r>
    <n v="1018"/>
    <d v="2024-01-01T00:00:00"/>
    <s v="Alice"/>
    <x v="1"/>
    <n v="8579.7199999999993"/>
    <n v="24"/>
    <x v="3"/>
    <n v="1362.78"/>
    <n v="1729.81"/>
    <s v="New"/>
    <n v="0.28999999999999998"/>
    <s v="Bank Transfer"/>
    <s v="Online"/>
    <x v="17"/>
    <n v="32706.720000000001"/>
    <n v="-24127"/>
    <n v="-2.8120964320513959"/>
    <x v="5"/>
    <n v="2024"/>
  </r>
  <r>
    <n v="1082"/>
    <d v="2023-06-11T00:00:00"/>
    <s v="Alice"/>
    <x v="0"/>
    <n v="7041.58"/>
    <n v="17"/>
    <x v="0"/>
    <n v="890.31"/>
    <n v="1159.06"/>
    <s v="Returning"/>
    <n v="0.06"/>
    <s v="Cash"/>
    <s v="Retail"/>
    <x v="15"/>
    <n v="15135.269999999999"/>
    <n v="-8093.6899999999987"/>
    <n v="-1.1494139099463472"/>
    <x v="6"/>
    <n v="2023"/>
  </r>
  <r>
    <n v="1066"/>
    <d v="2023-03-28T00:00:00"/>
    <s v="Charlie"/>
    <x v="0"/>
    <n v="7297.86"/>
    <n v="7"/>
    <x v="2"/>
    <n v="523.41999999999996"/>
    <n v="632.43999999999903"/>
    <s v="New"/>
    <n v="0.2"/>
    <s v="Bank Transfer"/>
    <s v="Online"/>
    <x v="19"/>
    <n v="3663.9399999999996"/>
    <n v="3633.92"/>
    <n v="0.49794323267368795"/>
    <x v="4"/>
    <n v="2023"/>
  </r>
  <r>
    <n v="1054"/>
    <d v="2023-02-24T00:00:00"/>
    <s v="Alice"/>
    <x v="0"/>
    <n v="5664.52"/>
    <n v="43"/>
    <x v="1"/>
    <n v="2124.7199999999998"/>
    <n v="2188.66"/>
    <s v="Returning"/>
    <n v="0.03"/>
    <s v="Credit Card"/>
    <s v="Retail"/>
    <x v="15"/>
    <n v="91362.959999999992"/>
    <n v="-85698.439999999988"/>
    <n v="-15.128985333267423"/>
    <x v="0"/>
    <n v="2023"/>
  </r>
  <r>
    <n v="1035"/>
    <d v="2023-10-15T00:00:00"/>
    <s v="David"/>
    <x v="0"/>
    <n v="9476.2000000000007"/>
    <n v="1"/>
    <x v="0"/>
    <n v="610.83000000000004"/>
    <n v="808.69"/>
    <s v="New"/>
    <n v="0.22"/>
    <s v="Credit Card"/>
    <s v="Online"/>
    <x v="11"/>
    <n v="610.83000000000004"/>
    <n v="8865.3700000000008"/>
    <n v="0.93554061754711804"/>
    <x v="7"/>
    <n v="2023"/>
  </r>
  <r>
    <n v="1080"/>
    <d v="2023-06-27T00:00:00"/>
    <s v="Eve"/>
    <x v="1"/>
    <n v="5012.96"/>
    <n v="35"/>
    <x v="0"/>
    <n v="900.97"/>
    <n v="1321.18"/>
    <s v="Returning"/>
    <n v="0.1"/>
    <s v="Cash"/>
    <s v="Online"/>
    <x v="8"/>
    <n v="31533.95"/>
    <n v="-26520.99"/>
    <n v="-5.2904850627174369"/>
    <x v="6"/>
    <n v="2023"/>
  </r>
  <r>
    <n v="1061"/>
    <d v="2023-12-15T00:00:00"/>
    <s v="Alice"/>
    <x v="0"/>
    <n v="3867.13"/>
    <n v="32"/>
    <x v="1"/>
    <n v="2759.26"/>
    <n v="3193.25"/>
    <s v="New"/>
    <n v="0.2"/>
    <s v="Bank Transfer"/>
    <s v="Online"/>
    <x v="15"/>
    <n v="88296.320000000007"/>
    <n v="-84429.19"/>
    <n v="-21.832519206750227"/>
    <x v="9"/>
    <n v="2023"/>
  </r>
  <r>
    <n v="1041"/>
    <d v="2023-01-08T00:00:00"/>
    <s v="David"/>
    <x v="3"/>
    <n v="1714.05"/>
    <n v="36"/>
    <x v="1"/>
    <n v="864.77"/>
    <n v="1170.1599999999901"/>
    <s v="Returning"/>
    <n v="0.11"/>
    <s v="Cash"/>
    <s v="Retail"/>
    <x v="16"/>
    <n v="31131.72"/>
    <n v="-29417.670000000002"/>
    <n v="-17.162667366762932"/>
    <x v="5"/>
    <n v="2023"/>
  </r>
  <r>
    <n v="1100"/>
    <d v="2023-11-17T00:00:00"/>
    <s v="Bob"/>
    <x v="3"/>
    <n v="7883.44"/>
    <n v="13"/>
    <x v="1"/>
    <n v="366.2"/>
    <n v="732.69"/>
    <s v="New"/>
    <n v="0.04"/>
    <s v="Cash"/>
    <s v="Retail"/>
    <x v="12"/>
    <n v="4760.5999999999995"/>
    <n v="3122.84"/>
    <n v="0.3961265640380342"/>
    <x v="8"/>
    <n v="2023"/>
  </r>
  <r>
    <n v="1033"/>
    <d v="2023-11-09T00:00:00"/>
    <s v="David"/>
    <x v="3"/>
    <n v="7370.99"/>
    <n v="6"/>
    <x v="2"/>
    <n v="1621.07"/>
    <n v="1687.5"/>
    <s v="Returning"/>
    <n v="0.12"/>
    <s v="Credit Card"/>
    <s v="Online"/>
    <x v="16"/>
    <n v="9726.42"/>
    <n v="-2355.4300000000003"/>
    <n v="-0.31955408974913824"/>
    <x v="8"/>
    <n v="2023"/>
  </r>
  <r>
    <n v="1068"/>
    <d v="2023-09-04T00:00:00"/>
    <s v="Eve"/>
    <x v="3"/>
    <n v="3905.11"/>
    <n v="14"/>
    <x v="1"/>
    <n v="1140.58"/>
    <n v="1438.76"/>
    <s v="Returning"/>
    <n v="0.03"/>
    <s v="Bank Transfer"/>
    <s v="Online"/>
    <x v="14"/>
    <n v="15968.119999999999"/>
    <n v="-12063.009999999998"/>
    <n v="-3.0890320631172998"/>
    <x v="2"/>
    <n v="2023"/>
  </r>
  <r>
    <n v="1033"/>
    <d v="2023-11-19T00:00:00"/>
    <s v="David"/>
    <x v="0"/>
    <n v="349.41"/>
    <n v="37"/>
    <x v="3"/>
    <n v="2600.7600000000002"/>
    <n v="2937.57"/>
    <s v="New"/>
    <n v="0.17"/>
    <s v="Credit Card"/>
    <s v="Retail"/>
    <x v="11"/>
    <n v="96228.12000000001"/>
    <n v="-95878.71"/>
    <n v="-274.40173435219367"/>
    <x v="8"/>
    <n v="2023"/>
  </r>
  <r>
    <n v="1014"/>
    <d v="2023-09-12T00:00:00"/>
    <s v="Charlie"/>
    <x v="3"/>
    <n v="8406.07"/>
    <n v="48"/>
    <x v="0"/>
    <n v="556.72"/>
    <n v="665.07"/>
    <s v="Returning"/>
    <n v="0.01"/>
    <s v="Bank Transfer"/>
    <s v="Retail"/>
    <x v="4"/>
    <n v="26722.560000000001"/>
    <n v="-18316.490000000002"/>
    <n v="-2.1789599658342129"/>
    <x v="2"/>
    <n v="2023"/>
  </r>
  <r>
    <n v="1021"/>
    <d v="2023-11-24T00:00:00"/>
    <s v="Eve"/>
    <x v="0"/>
    <n v="213.04"/>
    <n v="15"/>
    <x v="1"/>
    <n v="3771.27"/>
    <n v="4212.55"/>
    <s v="Returning"/>
    <n v="0.16"/>
    <s v="Credit Card"/>
    <s v="Retail"/>
    <x v="7"/>
    <n v="56569.05"/>
    <n v="-56356.01"/>
    <n v="-264.53252910251598"/>
    <x v="8"/>
    <n v="2023"/>
  </r>
  <r>
    <n v="1048"/>
    <d v="2023-02-23T00:00:00"/>
    <s v="Bob"/>
    <x v="1"/>
    <n v="7066.63"/>
    <n v="47"/>
    <x v="1"/>
    <n v="4535.8599999999997"/>
    <n v="4641.41"/>
    <s v="New"/>
    <n v="0.27"/>
    <s v="Credit Card"/>
    <s v="Retail"/>
    <x v="1"/>
    <n v="213185.41999999998"/>
    <n v="-206118.78999999998"/>
    <n v="-29.167904644788248"/>
    <x v="0"/>
    <n v="2023"/>
  </r>
  <r>
    <n v="1020"/>
    <d v="2023-09-06T00:00:00"/>
    <s v="Charlie"/>
    <x v="3"/>
    <n v="9705.5499999999993"/>
    <n v="4"/>
    <x v="2"/>
    <n v="3730"/>
    <n v="3893.6"/>
    <s v="New"/>
    <n v="0.25"/>
    <s v="Bank Transfer"/>
    <s v="Retail"/>
    <x v="4"/>
    <n v="14920"/>
    <n v="-5214.4500000000007"/>
    <n v="-0.53726476088423647"/>
    <x v="2"/>
    <n v="2023"/>
  </r>
  <r>
    <n v="1008"/>
    <d v="2023-08-27T00:00:00"/>
    <s v="David"/>
    <x v="2"/>
    <n v="4432.8500000000004"/>
    <n v="40"/>
    <x v="2"/>
    <n v="2687.49"/>
    <n v="3001.56"/>
    <s v="Returning"/>
    <n v="0.26"/>
    <s v="Bank Transfer"/>
    <s v="Online"/>
    <x v="2"/>
    <n v="107499.59999999999"/>
    <n v="-103066.74999999999"/>
    <n v="-23.250673945655723"/>
    <x v="3"/>
    <n v="2023"/>
  </r>
  <r>
    <n v="1007"/>
    <d v="2023-08-17T00:00:00"/>
    <s v="Eve"/>
    <x v="3"/>
    <n v="2426.2399999999998"/>
    <n v="16"/>
    <x v="0"/>
    <n v="4310.3100000000004"/>
    <n v="4633.1000000000004"/>
    <s v="New"/>
    <n v="0.28000000000000003"/>
    <s v="Credit Card"/>
    <s v="Retail"/>
    <x v="14"/>
    <n v="68964.960000000006"/>
    <n v="-66538.720000000001"/>
    <n v="-27.424624109733582"/>
    <x v="3"/>
    <n v="2023"/>
  </r>
  <r>
    <n v="1067"/>
    <d v="2023-03-08T00:00:00"/>
    <s v="Bob"/>
    <x v="3"/>
    <n v="7078.22"/>
    <n v="28"/>
    <x v="3"/>
    <n v="3489.85"/>
    <n v="3842.5499999999902"/>
    <s v="New"/>
    <n v="0.03"/>
    <s v="Bank Transfer"/>
    <s v="Online"/>
    <x v="12"/>
    <n v="97715.8"/>
    <n v="-90637.58"/>
    <n v="-12.805137449810829"/>
    <x v="4"/>
    <n v="2023"/>
  </r>
  <r>
    <n v="1017"/>
    <d v="2023-02-20T00:00:00"/>
    <s v="Charlie"/>
    <x v="0"/>
    <n v="8189.57"/>
    <n v="16"/>
    <x v="0"/>
    <n v="102.23"/>
    <n v="167.12"/>
    <s v="New"/>
    <n v="0.04"/>
    <s v="Credit Card"/>
    <s v="Retail"/>
    <x v="19"/>
    <n v="1635.68"/>
    <n v="6553.8899999999994"/>
    <n v="0.80027278599486906"/>
    <x v="0"/>
    <n v="2023"/>
  </r>
  <r>
    <n v="1033"/>
    <d v="2023-04-07T00:00:00"/>
    <s v="Bob"/>
    <x v="3"/>
    <n v="5509.66"/>
    <n v="4"/>
    <x v="1"/>
    <n v="2000.75"/>
    <n v="2426.9899999999998"/>
    <s v="Returning"/>
    <n v="0.17"/>
    <s v="Bank Transfer"/>
    <s v="Online"/>
    <x v="12"/>
    <n v="8003"/>
    <n v="-2493.34"/>
    <n v="-0.45253972114431745"/>
    <x v="1"/>
    <n v="2023"/>
  </r>
  <r>
    <n v="1048"/>
    <d v="2023-04-02T00:00:00"/>
    <s v="David"/>
    <x v="2"/>
    <n v="9673.65"/>
    <n v="45"/>
    <x v="3"/>
    <n v="4262.21"/>
    <n v="4533.3100000000004"/>
    <s v="Returning"/>
    <n v="0.27"/>
    <s v="Credit Card"/>
    <s v="Online"/>
    <x v="2"/>
    <n v="191799.45"/>
    <n v="-182125.80000000002"/>
    <n v="-18.826999116155744"/>
    <x v="1"/>
    <n v="2023"/>
  </r>
  <r>
    <n v="1076"/>
    <d v="2023-09-21T00:00:00"/>
    <s v="Bob"/>
    <x v="0"/>
    <n v="611.52"/>
    <n v="26"/>
    <x v="3"/>
    <n v="1762"/>
    <n v="2002.95"/>
    <s v="Returning"/>
    <n v="0.28999999999999998"/>
    <s v="Credit Card"/>
    <s v="Retail"/>
    <x v="0"/>
    <n v="45812"/>
    <n v="-45200.480000000003"/>
    <n v="-73.914965986394563"/>
    <x v="2"/>
    <n v="2023"/>
  </r>
  <r>
    <n v="1059"/>
    <d v="2023-10-18T00:00:00"/>
    <s v="Alice"/>
    <x v="0"/>
    <n v="5097.4799999999996"/>
    <n v="28"/>
    <x v="3"/>
    <n v="224.32"/>
    <n v="715.06"/>
    <s v="Returning"/>
    <n v="0.01"/>
    <s v="Credit Card"/>
    <s v="Online"/>
    <x v="15"/>
    <n v="6280.96"/>
    <n v="-1183.4800000000005"/>
    <n v="-0.23216962106766492"/>
    <x v="7"/>
    <n v="2023"/>
  </r>
  <r>
    <n v="1086"/>
    <d v="2023-04-06T00:00:00"/>
    <s v="Charlie"/>
    <x v="1"/>
    <n v="7212.69"/>
    <n v="32"/>
    <x v="3"/>
    <n v="3743.59"/>
    <n v="4116.38"/>
    <s v="Returning"/>
    <n v="0.11"/>
    <s v="Cash"/>
    <s v="Online"/>
    <x v="5"/>
    <n v="119794.88"/>
    <n v="-112582.19"/>
    <n v="-15.60890458344945"/>
    <x v="1"/>
    <n v="2023"/>
  </r>
  <r>
    <n v="1022"/>
    <d v="2023-03-29T00:00:00"/>
    <s v="Bob"/>
    <x v="1"/>
    <n v="8640.14"/>
    <n v="45"/>
    <x v="0"/>
    <n v="4020.09"/>
    <n v="4087.91"/>
    <s v="Returning"/>
    <n v="0.06"/>
    <s v="Bank Transfer"/>
    <s v="Online"/>
    <x v="1"/>
    <n v="180904.05000000002"/>
    <n v="-172263.91000000003"/>
    <n v="-19.937629482855606"/>
    <x v="4"/>
    <n v="2023"/>
  </r>
  <r>
    <n v="1030"/>
    <d v="2023-03-19T00:00:00"/>
    <s v="David"/>
    <x v="3"/>
    <n v="1874.63"/>
    <n v="2"/>
    <x v="2"/>
    <n v="844.94"/>
    <n v="1225.6400000000001"/>
    <s v="Returning"/>
    <n v="0.23"/>
    <s v="Credit Card"/>
    <s v="Online"/>
    <x v="16"/>
    <n v="1689.88"/>
    <n v="184.75"/>
    <n v="9.8552781082133542E-2"/>
    <x v="4"/>
    <n v="2023"/>
  </r>
  <r>
    <n v="1038"/>
    <d v="2023-10-15T00:00:00"/>
    <s v="David"/>
    <x v="1"/>
    <n v="8020.03"/>
    <n v="31"/>
    <x v="2"/>
    <n v="2709.84"/>
    <n v="2766.51"/>
    <s v="New"/>
    <n v="0.19"/>
    <s v="Cash"/>
    <s v="Retail"/>
    <x v="13"/>
    <n v="84005.040000000008"/>
    <n v="-75985.010000000009"/>
    <n v="-9.4744047092093187"/>
    <x v="7"/>
    <n v="2023"/>
  </r>
  <r>
    <n v="1051"/>
    <d v="2023-04-30T00:00:00"/>
    <s v="Bob"/>
    <x v="1"/>
    <n v="5571.8"/>
    <n v="3"/>
    <x v="1"/>
    <n v="1000.18"/>
    <n v="1023.64"/>
    <s v="Returning"/>
    <n v="0.04"/>
    <s v="Credit Card"/>
    <s v="Online"/>
    <x v="1"/>
    <n v="3000.54"/>
    <n v="2571.2600000000002"/>
    <n v="0.4614774399655408"/>
    <x v="1"/>
    <n v="2023"/>
  </r>
  <r>
    <n v="1054"/>
    <d v="2023-10-29T00:00:00"/>
    <s v="David"/>
    <x v="1"/>
    <n v="4025.88"/>
    <n v="8"/>
    <x v="2"/>
    <n v="3610.21"/>
    <n v="3817.99"/>
    <s v="Returning"/>
    <n v="0.15"/>
    <s v="Cash"/>
    <s v="Retail"/>
    <x v="13"/>
    <n v="28881.68"/>
    <n v="-24855.8"/>
    <n v="-6.1740041928721174"/>
    <x v="7"/>
    <n v="2023"/>
  </r>
  <r>
    <n v="1008"/>
    <d v="2023-06-14T00:00:00"/>
    <s v="Eve"/>
    <x v="0"/>
    <n v="1403.98"/>
    <n v="24"/>
    <x v="2"/>
    <n v="1394.17"/>
    <n v="1891.02"/>
    <s v="New"/>
    <n v="0.21"/>
    <s v="Credit Card"/>
    <s v="Online"/>
    <x v="7"/>
    <n v="33460.080000000002"/>
    <n v="-32056.100000000002"/>
    <n v="-22.832305303494351"/>
    <x v="6"/>
    <n v="2023"/>
  </r>
  <r>
    <n v="1027"/>
    <d v="2023-07-01T00:00:00"/>
    <s v="Eve"/>
    <x v="0"/>
    <n v="8666.43"/>
    <n v="15"/>
    <x v="2"/>
    <n v="1615.26"/>
    <n v="1710.95"/>
    <s v="New"/>
    <n v="0.23"/>
    <s v="Credit Card"/>
    <s v="Retail"/>
    <x v="7"/>
    <n v="24228.9"/>
    <n v="-15562.470000000001"/>
    <n v="-1.7957186523170441"/>
    <x v="11"/>
    <n v="2023"/>
  </r>
  <r>
    <n v="1027"/>
    <d v="2023-08-11T00:00:00"/>
    <s v="Eve"/>
    <x v="0"/>
    <n v="1657"/>
    <n v="43"/>
    <x v="2"/>
    <n v="4232.6099999999997"/>
    <n v="4572.21"/>
    <s v="New"/>
    <n v="0.01"/>
    <s v="Cash"/>
    <s v="Retail"/>
    <x v="7"/>
    <n v="182002.22999999998"/>
    <n v="-180345.22999999998"/>
    <n v="-108.83840072420035"/>
    <x v="3"/>
    <n v="2023"/>
  </r>
  <r>
    <n v="1098"/>
    <d v="2023-11-07T00:00:00"/>
    <s v="Alice"/>
    <x v="1"/>
    <n v="3166.9"/>
    <n v="31"/>
    <x v="1"/>
    <n v="2407.8000000000002"/>
    <n v="2502.7600000000002"/>
    <s v="Returning"/>
    <n v="0.27"/>
    <s v="Cash"/>
    <s v="Retail"/>
    <x v="17"/>
    <n v="74641.8"/>
    <n v="-71474.900000000009"/>
    <n v="-22.56935804730178"/>
    <x v="8"/>
    <n v="2023"/>
  </r>
  <r>
    <n v="1021"/>
    <d v="2023-01-07T00:00:00"/>
    <s v="Bob"/>
    <x v="0"/>
    <n v="2971.45"/>
    <n v="9"/>
    <x v="0"/>
    <n v="3365.28"/>
    <n v="3730.43"/>
    <s v="New"/>
    <n v="0.17"/>
    <s v="Bank Transfer"/>
    <s v="Online"/>
    <x v="0"/>
    <n v="30287.52"/>
    <n v="-27316.07"/>
    <n v="-9.1928418785441455"/>
    <x v="5"/>
    <n v="2023"/>
  </r>
  <r>
    <n v="1030"/>
    <d v="2023-11-26T00:00:00"/>
    <s v="Alice"/>
    <x v="1"/>
    <n v="8727"/>
    <n v="39"/>
    <x v="3"/>
    <n v="2041.75"/>
    <n v="2299.37"/>
    <s v="Returning"/>
    <n v="0.24"/>
    <s v="Bank Transfer"/>
    <s v="Retail"/>
    <x v="17"/>
    <n v="79628.25"/>
    <n v="-70901.25"/>
    <n v="-8.1243554486077691"/>
    <x v="8"/>
    <n v="2023"/>
  </r>
  <r>
    <n v="1097"/>
    <d v="2023-09-20T00:00:00"/>
    <s v="David"/>
    <x v="0"/>
    <n v="6759.76"/>
    <n v="45"/>
    <x v="2"/>
    <n v="1525.13"/>
    <n v="1868.32"/>
    <s v="Returning"/>
    <n v="0.24"/>
    <s v="Cash"/>
    <s v="Retail"/>
    <x v="11"/>
    <n v="68630.850000000006"/>
    <n v="-61871.090000000004"/>
    <n v="-9.1528530598719477"/>
    <x v="2"/>
    <n v="2023"/>
  </r>
  <r>
    <n v="1028"/>
    <d v="2023-06-10T00:00:00"/>
    <s v="Alice"/>
    <x v="0"/>
    <n v="7987.15"/>
    <n v="2"/>
    <x v="0"/>
    <n v="3146.12"/>
    <n v="3255.5299999999902"/>
    <s v="Returning"/>
    <n v="0.06"/>
    <s v="Bank Transfer"/>
    <s v="Online"/>
    <x v="15"/>
    <n v="6292.24"/>
    <n v="1694.9099999999999"/>
    <n v="0.21220460364460414"/>
    <x v="6"/>
    <n v="2023"/>
  </r>
  <r>
    <n v="1064"/>
    <d v="2023-05-31T00:00:00"/>
    <s v="David"/>
    <x v="2"/>
    <n v="2579.63"/>
    <n v="8"/>
    <x v="2"/>
    <n v="816.54"/>
    <n v="1191.9000000000001"/>
    <s v="New"/>
    <n v="0.03"/>
    <s v="Cash"/>
    <s v="Retail"/>
    <x v="2"/>
    <n v="6532.32"/>
    <n v="-3952.6899999999996"/>
    <n v="-1.532270131763082"/>
    <x v="10"/>
    <n v="2023"/>
  </r>
  <r>
    <n v="1097"/>
    <d v="2023-03-26T00:00:00"/>
    <s v="David"/>
    <x v="3"/>
    <n v="6286.25"/>
    <n v="7"/>
    <x v="2"/>
    <n v="1896.35"/>
    <n v="2394.1999999999998"/>
    <s v="New"/>
    <n v="0.22"/>
    <s v="Bank Transfer"/>
    <s v="Online"/>
    <x v="16"/>
    <n v="13274.449999999999"/>
    <n v="-6988.1999999999989"/>
    <n v="-1.1116643467886258"/>
    <x v="4"/>
    <n v="2023"/>
  </r>
  <r>
    <n v="1069"/>
    <d v="2023-05-27T00:00:00"/>
    <s v="Charlie"/>
    <x v="1"/>
    <n v="5760.29"/>
    <n v="44"/>
    <x v="3"/>
    <n v="1084.73"/>
    <n v="1420.9"/>
    <s v="Returning"/>
    <n v="0.05"/>
    <s v="Credit Card"/>
    <s v="Online"/>
    <x v="5"/>
    <n v="47728.12"/>
    <n v="-41967.83"/>
    <n v="-7.2857147817210599"/>
    <x v="10"/>
    <n v="2023"/>
  </r>
  <r>
    <n v="1061"/>
    <d v="2023-04-22T00:00:00"/>
    <s v="Eve"/>
    <x v="2"/>
    <n v="8345.02"/>
    <n v="39"/>
    <x v="3"/>
    <n v="3494.19"/>
    <n v="3746"/>
    <s v="Returning"/>
    <n v="0.25"/>
    <s v="Bank Transfer"/>
    <s v="Retail"/>
    <x v="6"/>
    <n v="136273.41"/>
    <n v="-127928.39"/>
    <n v="-15.329908136828911"/>
    <x v="1"/>
    <n v="2023"/>
  </r>
  <r>
    <n v="1048"/>
    <d v="2023-02-05T00:00:00"/>
    <s v="David"/>
    <x v="0"/>
    <n v="9070.26"/>
    <n v="42"/>
    <x v="3"/>
    <n v="4723.83"/>
    <n v="5186.1899999999996"/>
    <s v="Returning"/>
    <n v="0.22"/>
    <s v="Credit Card"/>
    <s v="Online"/>
    <x v="11"/>
    <n v="198400.86"/>
    <n v="-189330.59999999998"/>
    <n v="-20.873778700941315"/>
    <x v="0"/>
    <n v="2023"/>
  </r>
  <r>
    <n v="1019"/>
    <d v="2023-10-12T00:00:00"/>
    <s v="Charlie"/>
    <x v="1"/>
    <n v="220.35"/>
    <n v="16"/>
    <x v="2"/>
    <n v="4977.78"/>
    <n v="4995.55"/>
    <s v="New"/>
    <n v="0.25"/>
    <s v="Credit Card"/>
    <s v="Online"/>
    <x v="5"/>
    <n v="79644.479999999996"/>
    <n v="-79424.12999999999"/>
    <n v="-360.44533696392102"/>
    <x v="7"/>
    <n v="2023"/>
  </r>
  <r>
    <n v="1004"/>
    <d v="2023-07-07T00:00:00"/>
    <s v="Eve"/>
    <x v="0"/>
    <n v="6772.8"/>
    <n v="35"/>
    <x v="2"/>
    <n v="2278.87"/>
    <n v="2646.5299999999902"/>
    <s v="Returning"/>
    <n v="0.09"/>
    <s v="Bank Transfer"/>
    <s v="Online"/>
    <x v="7"/>
    <n v="79760.45"/>
    <n v="-72987.649999999994"/>
    <n v="-10.776584278289628"/>
    <x v="11"/>
    <n v="2023"/>
  </r>
  <r>
    <n v="1035"/>
    <d v="2023-03-23T00:00:00"/>
    <s v="David"/>
    <x v="3"/>
    <n v="613.16999999999996"/>
    <n v="30"/>
    <x v="2"/>
    <n v="1300.03"/>
    <n v="1745.52"/>
    <s v="New"/>
    <n v="0.09"/>
    <s v="Cash"/>
    <s v="Retail"/>
    <x v="16"/>
    <n v="39000.9"/>
    <n v="-38387.730000000003"/>
    <n v="-62.605362297568384"/>
    <x v="4"/>
    <n v="2023"/>
  </r>
  <r>
    <n v="1064"/>
    <d v="2023-01-02T00:00:00"/>
    <s v="David"/>
    <x v="2"/>
    <n v="5533.7"/>
    <n v="10"/>
    <x v="3"/>
    <n v="2242.0100000000002"/>
    <n v="2282.23"/>
    <s v="Returning"/>
    <n v="0.2"/>
    <s v="Credit Card"/>
    <s v="Online"/>
    <x v="2"/>
    <n v="22420.100000000002"/>
    <n v="-16886.400000000001"/>
    <n v="-3.0515568245477711"/>
    <x v="5"/>
    <n v="2023"/>
  </r>
  <r>
    <n v="1049"/>
    <d v="2023-10-30T00:00:00"/>
    <s v="Alice"/>
    <x v="3"/>
    <n v="2947.56"/>
    <n v="38"/>
    <x v="1"/>
    <n v="4243.9799999999996"/>
    <n v="4474.5099999999902"/>
    <s v="New"/>
    <n v="0.01"/>
    <s v="Credit Card"/>
    <s v="Online"/>
    <x v="18"/>
    <n v="161271.24"/>
    <n v="-158323.68"/>
    <n v="-53.713471481496562"/>
    <x v="7"/>
    <n v="2023"/>
  </r>
  <r>
    <n v="1017"/>
    <d v="2023-07-16T00:00:00"/>
    <s v="Alice"/>
    <x v="2"/>
    <n v="3137.09"/>
    <n v="18"/>
    <x v="0"/>
    <n v="1069.73"/>
    <n v="1180.04"/>
    <s v="Returning"/>
    <n v="0.22"/>
    <s v="Bank Transfer"/>
    <s v="Online"/>
    <x v="9"/>
    <n v="19255.14"/>
    <n v="-16118.05"/>
    <n v="-5.1378984982898155"/>
    <x v="11"/>
    <n v="2023"/>
  </r>
  <r>
    <n v="1044"/>
    <d v="2023-01-11T00:00:00"/>
    <s v="Eve"/>
    <x v="0"/>
    <n v="3594.29"/>
    <n v="5"/>
    <x v="1"/>
    <n v="4762.87"/>
    <n v="5050.46"/>
    <s v="New"/>
    <n v="0.25"/>
    <s v="Cash"/>
    <s v="Retail"/>
    <x v="7"/>
    <n v="23814.35"/>
    <n v="-20220.059999999998"/>
    <n v="-5.6256061697859652"/>
    <x v="5"/>
    <n v="2023"/>
  </r>
  <r>
    <n v="1092"/>
    <d v="2023-08-22T00:00:00"/>
    <s v="David"/>
    <x v="3"/>
    <n v="6250.8"/>
    <n v="29"/>
    <x v="2"/>
    <n v="1742.24"/>
    <n v="2070.52"/>
    <s v="New"/>
    <n v="0.12"/>
    <s v="Cash"/>
    <s v="Online"/>
    <x v="16"/>
    <n v="50524.959999999999"/>
    <n v="-44274.159999999996"/>
    <n v="-7.0829589812503988"/>
    <x v="3"/>
    <n v="2023"/>
  </r>
  <r>
    <n v="1030"/>
    <d v="2023-07-14T00:00:00"/>
    <s v="Bob"/>
    <x v="3"/>
    <n v="3407.09"/>
    <n v="39"/>
    <x v="2"/>
    <n v="4929.7299999999996"/>
    <n v="5088.0199999999904"/>
    <s v="New"/>
    <n v="0.23"/>
    <s v="Bank Transfer"/>
    <s v="Retail"/>
    <x v="12"/>
    <n v="192259.46999999997"/>
    <n v="-188852.37999999998"/>
    <n v="-55.4292313968812"/>
    <x v="11"/>
    <n v="2023"/>
  </r>
  <r>
    <n v="1093"/>
    <d v="2023-04-29T00:00:00"/>
    <s v="Alice"/>
    <x v="0"/>
    <n v="7353.72"/>
    <n v="34"/>
    <x v="1"/>
    <n v="4201.1099999999997"/>
    <n v="4436.5"/>
    <s v="New"/>
    <n v="0.05"/>
    <s v="Cash"/>
    <s v="Online"/>
    <x v="15"/>
    <n v="142837.74"/>
    <n v="-135484.01999999999"/>
    <n v="-18.423875263132128"/>
    <x v="1"/>
    <n v="2023"/>
  </r>
  <r>
    <n v="1046"/>
    <d v="2023-01-20T00:00:00"/>
    <s v="Eve"/>
    <x v="3"/>
    <n v="4104.82"/>
    <n v="43"/>
    <x v="2"/>
    <n v="4052.42"/>
    <n v="4199.3"/>
    <s v="New"/>
    <n v="0.1"/>
    <s v="Bank Transfer"/>
    <s v="Retail"/>
    <x v="14"/>
    <n v="174254.06"/>
    <n v="-170149.24"/>
    <n v="-41.451084335001291"/>
    <x v="5"/>
    <n v="2023"/>
  </r>
  <r>
    <n v="1006"/>
    <d v="2023-09-18T00:00:00"/>
    <s v="David"/>
    <x v="1"/>
    <n v="776.7"/>
    <n v="45"/>
    <x v="0"/>
    <n v="1623.63"/>
    <n v="1814.63"/>
    <s v="New"/>
    <n v="0.28999999999999998"/>
    <s v="Bank Transfer"/>
    <s v="Retail"/>
    <x v="13"/>
    <n v="73063.350000000006"/>
    <n v="-72286.650000000009"/>
    <n v="-93.068945538818085"/>
    <x v="2"/>
    <n v="2023"/>
  </r>
  <r>
    <n v="1099"/>
    <d v="2023-10-20T00:00:00"/>
    <s v="David"/>
    <x v="2"/>
    <n v="7859.22"/>
    <n v="23"/>
    <x v="2"/>
    <n v="93.45"/>
    <n v="181.62"/>
    <s v="Returning"/>
    <n v="0.3"/>
    <s v="Bank Transfer"/>
    <s v="Retail"/>
    <x v="2"/>
    <n v="2149.35"/>
    <n v="5709.8700000000008"/>
    <n v="0.72651866215731342"/>
    <x v="7"/>
    <n v="2023"/>
  </r>
  <r>
    <n v="1037"/>
    <d v="2023-09-13T00:00:00"/>
    <s v="Bob"/>
    <x v="2"/>
    <n v="2929.01"/>
    <n v="5"/>
    <x v="0"/>
    <n v="1941.56"/>
    <n v="2385.48"/>
    <s v="Returning"/>
    <n v="0.15"/>
    <s v="Credit Card"/>
    <s v="Online"/>
    <x v="3"/>
    <n v="9707.7999999999993"/>
    <n v="-6778.7899999999991"/>
    <n v="-2.3143621906377918"/>
    <x v="2"/>
    <n v="2023"/>
  </r>
  <r>
    <n v="1024"/>
    <d v="2023-08-10T00:00:00"/>
    <s v="Eve"/>
    <x v="2"/>
    <n v="4384.3900000000003"/>
    <n v="30"/>
    <x v="1"/>
    <n v="1543.96"/>
    <n v="1558.87"/>
    <s v="Returning"/>
    <n v="0.28000000000000003"/>
    <s v="Credit Card"/>
    <s v="Online"/>
    <x v="6"/>
    <n v="46318.8"/>
    <n v="-41934.410000000003"/>
    <n v="-9.5644798934401365"/>
    <x v="3"/>
    <n v="2023"/>
  </r>
  <r>
    <n v="1093"/>
    <d v="2023-08-14T00:00:00"/>
    <s v="David"/>
    <x v="1"/>
    <n v="6885.89"/>
    <n v="6"/>
    <x v="1"/>
    <n v="235.12"/>
    <n v="677.5"/>
    <s v="Returning"/>
    <n v="0.16"/>
    <s v="Credit Card"/>
    <s v="Online"/>
    <x v="13"/>
    <n v="1410.72"/>
    <n v="5475.17"/>
    <n v="0.79512887949124944"/>
    <x v="3"/>
    <n v="2023"/>
  </r>
  <r>
    <n v="1046"/>
    <d v="2023-02-22T00:00:00"/>
    <s v="Alice"/>
    <x v="2"/>
    <n v="3391.32"/>
    <n v="46"/>
    <x v="2"/>
    <n v="2551.56"/>
    <n v="2841.68"/>
    <s v="New"/>
    <n v="0.09"/>
    <s v="Bank Transfer"/>
    <s v="Retail"/>
    <x v="9"/>
    <n v="117371.76"/>
    <n v="-113980.43999999999"/>
    <n v="-33.609461802483985"/>
    <x v="0"/>
    <n v="2023"/>
  </r>
  <r>
    <n v="1053"/>
    <d v="2023-12-21T00:00:00"/>
    <s v="Bob"/>
    <x v="0"/>
    <n v="660.2"/>
    <n v="44"/>
    <x v="0"/>
    <n v="2045"/>
    <n v="2217.5100000000002"/>
    <s v="Returning"/>
    <n v="0.08"/>
    <s v="Credit Card"/>
    <s v="Online"/>
    <x v="0"/>
    <n v="89980"/>
    <n v="-89319.8"/>
    <n v="-135.29203271735838"/>
    <x v="9"/>
    <n v="2023"/>
  </r>
  <r>
    <n v="1095"/>
    <d v="2023-12-08T00:00:00"/>
    <s v="Eve"/>
    <x v="3"/>
    <n v="3801.82"/>
    <n v="4"/>
    <x v="2"/>
    <n v="3191.05"/>
    <n v="3555.35"/>
    <s v="New"/>
    <n v="0.28000000000000003"/>
    <s v="Credit Card"/>
    <s v="Online"/>
    <x v="14"/>
    <n v="12764.2"/>
    <n v="-8962.380000000001"/>
    <n v="-2.3573919859435746"/>
    <x v="9"/>
    <n v="2023"/>
  </r>
  <r>
    <n v="1099"/>
    <d v="2023-12-30T00:00:00"/>
    <s v="Bob"/>
    <x v="1"/>
    <n v="9450.0400000000009"/>
    <n v="29"/>
    <x v="3"/>
    <n v="3124.87"/>
    <n v="3383.67"/>
    <s v="New"/>
    <n v="0.05"/>
    <s v="Credit Card"/>
    <s v="Retail"/>
    <x v="1"/>
    <n v="90621.23"/>
    <n v="-81171.19"/>
    <n v="-8.5895075576399673"/>
    <x v="9"/>
    <n v="2023"/>
  </r>
  <r>
    <n v="1060"/>
    <d v="2023-10-07T00:00:00"/>
    <s v="Alice"/>
    <x v="2"/>
    <n v="6453.17"/>
    <n v="23"/>
    <x v="3"/>
    <n v="647.70000000000005"/>
    <n v="902.26"/>
    <s v="New"/>
    <n v="0.17"/>
    <s v="Bank Transfer"/>
    <s v="Online"/>
    <x v="9"/>
    <n v="14897.1"/>
    <n v="-8443.93"/>
    <n v="-1.3084933451311527"/>
    <x v="7"/>
    <n v="2023"/>
  </r>
  <r>
    <n v="1097"/>
    <d v="2023-03-22T00:00:00"/>
    <s v="Eve"/>
    <x v="0"/>
    <n v="6747.64"/>
    <n v="6"/>
    <x v="3"/>
    <n v="4885.9799999999996"/>
    <n v="4949.95"/>
    <s v="Returning"/>
    <n v="0.17"/>
    <s v="Bank Transfer"/>
    <s v="Online"/>
    <x v="7"/>
    <n v="29315.879999999997"/>
    <n v="-22568.239999999998"/>
    <n v="-3.3446123385361397"/>
    <x v="4"/>
    <n v="2023"/>
  </r>
  <r>
    <n v="1063"/>
    <d v="2023-07-21T00:00:00"/>
    <s v="Bob"/>
    <x v="3"/>
    <n v="6359.59"/>
    <n v="32"/>
    <x v="3"/>
    <n v="975.31"/>
    <n v="1176.17"/>
    <s v="New"/>
    <n v="0.22"/>
    <s v="Bank Transfer"/>
    <s v="Retail"/>
    <x v="12"/>
    <n v="31209.919999999998"/>
    <n v="-24850.329999999998"/>
    <n v="-3.9075364921323539"/>
    <x v="11"/>
    <n v="2023"/>
  </r>
  <r>
    <n v="1085"/>
    <d v="2023-06-07T00:00:00"/>
    <s v="Charlie"/>
    <x v="3"/>
    <n v="2070.02"/>
    <n v="42"/>
    <x v="2"/>
    <n v="2254.11"/>
    <n v="2382.23"/>
    <s v="Returning"/>
    <n v="0.15"/>
    <s v="Credit Card"/>
    <s v="Retail"/>
    <x v="4"/>
    <n v="94672.62000000001"/>
    <n v="-92602.6"/>
    <n v="-44.735123332141718"/>
    <x v="6"/>
    <n v="2023"/>
  </r>
  <r>
    <n v="1032"/>
    <d v="2023-04-30T00:00:00"/>
    <s v="Alice"/>
    <x v="1"/>
    <n v="4241.51"/>
    <n v="18"/>
    <x v="3"/>
    <n v="2466.1799999999998"/>
    <n v="2483.87"/>
    <s v="Returning"/>
    <n v="0.08"/>
    <s v="Cash"/>
    <s v="Online"/>
    <x v="17"/>
    <n v="44391.24"/>
    <n v="-40149.729999999996"/>
    <n v="-9.4659048310625202"/>
    <x v="1"/>
    <n v="2023"/>
  </r>
  <r>
    <n v="1087"/>
    <d v="2023-02-28T00:00:00"/>
    <s v="Alice"/>
    <x v="1"/>
    <n v="7534.3"/>
    <n v="15"/>
    <x v="0"/>
    <n v="4074.66"/>
    <n v="4261.1099999999997"/>
    <s v="Returning"/>
    <n v="0.05"/>
    <s v="Credit Card"/>
    <s v="Retail"/>
    <x v="17"/>
    <n v="61119.899999999994"/>
    <n v="-53585.599999999991"/>
    <n v="-7.1122201133482861"/>
    <x v="0"/>
    <n v="2023"/>
  </r>
  <r>
    <n v="1033"/>
    <d v="2023-08-03T00:00:00"/>
    <s v="Alice"/>
    <x v="1"/>
    <n v="1103.5899999999999"/>
    <n v="40"/>
    <x v="1"/>
    <n v="541.19000000000005"/>
    <n v="595.20000000000005"/>
    <s v="Returning"/>
    <n v="0.19"/>
    <s v="Credit Card"/>
    <s v="Online"/>
    <x v="17"/>
    <n v="21647.600000000002"/>
    <n v="-20544.010000000002"/>
    <n v="-18.615618119047838"/>
    <x v="3"/>
    <n v="2023"/>
  </r>
  <r>
    <n v="1067"/>
    <d v="2023-05-08T00:00:00"/>
    <s v="Charlie"/>
    <x v="0"/>
    <n v="2850.74"/>
    <n v="32"/>
    <x v="1"/>
    <n v="2171.79"/>
    <n v="2307.64"/>
    <s v="Returning"/>
    <n v="0.22"/>
    <s v="Bank Transfer"/>
    <s v="Online"/>
    <x v="19"/>
    <n v="69497.279999999999"/>
    <n v="-66646.539999999994"/>
    <n v="-23.378680623276761"/>
    <x v="10"/>
    <n v="2023"/>
  </r>
  <r>
    <n v="1018"/>
    <d v="2023-08-12T00:00:00"/>
    <s v="Charlie"/>
    <x v="0"/>
    <n v="2835.56"/>
    <n v="9"/>
    <x v="3"/>
    <n v="3161.09"/>
    <n v="3216.42"/>
    <s v="New"/>
    <n v="0.17"/>
    <s v="Bank Transfer"/>
    <s v="Online"/>
    <x v="19"/>
    <n v="28449.81"/>
    <n v="-25614.25"/>
    <n v="-9.0332244777045805"/>
    <x v="3"/>
    <n v="2023"/>
  </r>
  <r>
    <n v="1025"/>
    <d v="2023-07-28T00:00:00"/>
    <s v="David"/>
    <x v="1"/>
    <n v="4376.99"/>
    <n v="37"/>
    <x v="3"/>
    <n v="1115.02"/>
    <n v="1174.48"/>
    <s v="New"/>
    <n v="0.22"/>
    <s v="Credit Card"/>
    <s v="Online"/>
    <x v="13"/>
    <n v="41255.74"/>
    <n v="-36878.75"/>
    <n v="-8.4255961288465357"/>
    <x v="11"/>
    <n v="2023"/>
  </r>
  <r>
    <n v="1095"/>
    <d v="2023-04-25T00:00:00"/>
    <s v="Bob"/>
    <x v="2"/>
    <n v="9805.65"/>
    <n v="10"/>
    <x v="3"/>
    <n v="3155.97"/>
    <n v="3263.49"/>
    <s v="Returning"/>
    <n v="0.04"/>
    <s v="Credit Card"/>
    <s v="Online"/>
    <x v="3"/>
    <n v="31559.699999999997"/>
    <n v="-21754.049999999996"/>
    <n v="-2.2185219745758817"/>
    <x v="1"/>
    <n v="2023"/>
  </r>
  <r>
    <n v="1054"/>
    <d v="2023-07-28T00:00:00"/>
    <s v="David"/>
    <x v="3"/>
    <n v="768.28"/>
    <n v="20"/>
    <x v="2"/>
    <n v="4622.1400000000003"/>
    <n v="5122.07"/>
    <s v="New"/>
    <n v="0.26"/>
    <s v="Cash"/>
    <s v="Retail"/>
    <x v="16"/>
    <n v="92442.8"/>
    <n v="-91674.52"/>
    <n v="-119.32436091008488"/>
    <x v="11"/>
    <n v="2023"/>
  </r>
  <r>
    <n v="1058"/>
    <d v="2023-01-14T00:00:00"/>
    <s v="Bob"/>
    <x v="3"/>
    <n v="5235.1400000000003"/>
    <n v="6"/>
    <x v="1"/>
    <n v="4987.71"/>
    <n v="4998.78"/>
    <s v="Returning"/>
    <n v="0.17"/>
    <s v="Cash"/>
    <s v="Retail"/>
    <x v="12"/>
    <n v="29926.260000000002"/>
    <n v="-24691.120000000003"/>
    <n v="-4.7164201912460797"/>
    <x v="5"/>
    <n v="2023"/>
  </r>
  <r>
    <n v="1067"/>
    <d v="2023-01-09T00:00:00"/>
    <s v="Charlie"/>
    <x v="0"/>
    <n v="1875.71"/>
    <n v="48"/>
    <x v="3"/>
    <n v="210.63"/>
    <n v="533.57999999999902"/>
    <s v="New"/>
    <n v="0.04"/>
    <s v="Bank Transfer"/>
    <s v="Online"/>
    <x v="19"/>
    <n v="10110.24"/>
    <n v="-8234.5299999999988"/>
    <n v="-4.390086953740183"/>
    <x v="5"/>
    <n v="2023"/>
  </r>
  <r>
    <n v="1046"/>
    <d v="2023-02-09T00:00:00"/>
    <s v="Charlie"/>
    <x v="3"/>
    <n v="9709.7000000000007"/>
    <n v="3"/>
    <x v="0"/>
    <n v="1216.1600000000001"/>
    <n v="1295.3699999999999"/>
    <s v="New"/>
    <n v="0.14000000000000001"/>
    <s v="Cash"/>
    <s v="Retail"/>
    <x v="4"/>
    <n v="3648.4800000000005"/>
    <n v="6061.22"/>
    <n v="0.62424379743967373"/>
    <x v="0"/>
    <n v="2023"/>
  </r>
  <r>
    <n v="1024"/>
    <d v="2023-08-25T00:00:00"/>
    <s v="David"/>
    <x v="2"/>
    <n v="1221.7"/>
    <n v="42"/>
    <x v="3"/>
    <n v="1586.02"/>
    <n v="2047.13"/>
    <s v="New"/>
    <n v="0.25"/>
    <s v="Cash"/>
    <s v="Retail"/>
    <x v="2"/>
    <n v="66612.84"/>
    <n v="-65391.14"/>
    <n v="-53.524711467627071"/>
    <x v="3"/>
    <n v="2023"/>
  </r>
  <r>
    <n v="1032"/>
    <d v="2023-10-08T00:00:00"/>
    <s v="Eve"/>
    <x v="3"/>
    <n v="4095.65"/>
    <n v="11"/>
    <x v="1"/>
    <n v="2025.67"/>
    <n v="2081.5500000000002"/>
    <s v="New"/>
    <n v="0.27"/>
    <s v="Bank Transfer"/>
    <s v="Online"/>
    <x v="14"/>
    <n v="22282.370000000003"/>
    <n v="-18186.72"/>
    <n v="-4.4404966244674231"/>
    <x v="7"/>
    <n v="2023"/>
  </r>
  <r>
    <n v="1047"/>
    <d v="2023-12-25T00:00:00"/>
    <s v="David"/>
    <x v="0"/>
    <n v="7405.06"/>
    <n v="43"/>
    <x v="3"/>
    <n v="1249.17"/>
    <n v="1727.15"/>
    <s v="New"/>
    <n v="0.08"/>
    <s v="Cash"/>
    <s v="Retail"/>
    <x v="11"/>
    <n v="53714.310000000005"/>
    <n v="-46309.250000000007"/>
    <n v="-6.253730557213582"/>
    <x v="9"/>
    <n v="2023"/>
  </r>
  <r>
    <n v="1086"/>
    <d v="2023-07-20T00:00:00"/>
    <s v="Bob"/>
    <x v="0"/>
    <n v="7075.09"/>
    <n v="17"/>
    <x v="1"/>
    <n v="1057.27"/>
    <n v="1366.62"/>
    <s v="New"/>
    <n v="0.21"/>
    <s v="Credit Card"/>
    <s v="Retail"/>
    <x v="0"/>
    <n v="17973.59"/>
    <n v="-10898.5"/>
    <n v="-1.5404044330178133"/>
    <x v="11"/>
    <n v="2023"/>
  </r>
  <r>
    <n v="1023"/>
    <d v="2023-09-03T00:00:00"/>
    <s v="David"/>
    <x v="2"/>
    <n v="4285.01"/>
    <n v="32"/>
    <x v="3"/>
    <n v="4775.04"/>
    <n v="4785.66"/>
    <s v="New"/>
    <n v="0.03"/>
    <s v="Cash"/>
    <s v="Online"/>
    <x v="2"/>
    <n v="152801.28"/>
    <n v="-148516.26999999999"/>
    <n v="-34.659492043192429"/>
    <x v="2"/>
    <n v="2023"/>
  </r>
  <r>
    <n v="1066"/>
    <d v="2023-10-05T00:00:00"/>
    <s v="Alice"/>
    <x v="2"/>
    <n v="3530.59"/>
    <n v="4"/>
    <x v="0"/>
    <n v="4596.68"/>
    <n v="5044.74"/>
    <s v="New"/>
    <n v="0.01"/>
    <s v="Bank Transfer"/>
    <s v="Online"/>
    <x v="9"/>
    <n v="18386.72"/>
    <n v="-14856.130000000001"/>
    <n v="-4.2078321187110372"/>
    <x v="7"/>
    <n v="2023"/>
  </r>
  <r>
    <n v="1027"/>
    <d v="2023-08-23T00:00:00"/>
    <s v="Bob"/>
    <x v="3"/>
    <n v="4036.36"/>
    <n v="4"/>
    <x v="3"/>
    <n v="282.61"/>
    <n v="548.25"/>
    <s v="New"/>
    <n v="0.17"/>
    <s v="Credit Card"/>
    <s v="Online"/>
    <x v="12"/>
    <n v="1130.44"/>
    <n v="2905.92"/>
    <n v="0.71993578372593126"/>
    <x v="3"/>
    <n v="2023"/>
  </r>
  <r>
    <n v="1002"/>
    <d v="2023-01-04T00:00:00"/>
    <s v="Bob"/>
    <x v="3"/>
    <n v="2716.34"/>
    <n v="17"/>
    <x v="0"/>
    <n v="1727.12"/>
    <n v="1865.83"/>
    <s v="New"/>
    <n v="0.21"/>
    <s v="Cash"/>
    <s v="Online"/>
    <x v="12"/>
    <n v="29361.039999999997"/>
    <n v="-26644.699999999997"/>
    <n v="-9.8090445231451131"/>
    <x v="5"/>
    <n v="2023"/>
  </r>
  <r>
    <n v="1090"/>
    <d v="2023-06-03T00:00:00"/>
    <s v="Eve"/>
    <x v="0"/>
    <n v="2132.8000000000002"/>
    <n v="41"/>
    <x v="0"/>
    <n v="2055.4899999999998"/>
    <n v="2441.46"/>
    <s v="New"/>
    <n v="0.24"/>
    <s v="Credit Card"/>
    <s v="Online"/>
    <x v="7"/>
    <n v="84275.09"/>
    <n v="-82142.289999999994"/>
    <n v="-38.513826894223548"/>
    <x v="6"/>
    <n v="2023"/>
  </r>
  <r>
    <n v="1017"/>
    <d v="2023-01-29T00:00:00"/>
    <s v="Charlie"/>
    <x v="2"/>
    <n v="4882.09"/>
    <n v="19"/>
    <x v="3"/>
    <n v="1233.1199999999999"/>
    <n v="1697.1899999999901"/>
    <s v="New"/>
    <n v="0.1"/>
    <s v="Credit Card"/>
    <s v="Online"/>
    <x v="10"/>
    <n v="23429.279999999999"/>
    <n v="-18547.189999999999"/>
    <n v="-3.7990266463748106"/>
    <x v="5"/>
    <n v="2023"/>
  </r>
  <r>
    <n v="1033"/>
    <d v="2023-04-19T00:00:00"/>
    <s v="Bob"/>
    <x v="2"/>
    <n v="2758.48"/>
    <n v="5"/>
    <x v="0"/>
    <n v="3162.92"/>
    <n v="3409.93"/>
    <s v="New"/>
    <n v="0"/>
    <s v="Cash"/>
    <s v="Online"/>
    <x v="3"/>
    <n v="15814.6"/>
    <n v="-13056.12"/>
    <n v="-4.7330848873292544"/>
    <x v="1"/>
    <n v="2023"/>
  </r>
  <r>
    <n v="1009"/>
    <d v="2023-04-08T00:00:00"/>
    <s v="Charlie"/>
    <x v="2"/>
    <n v="2945.87"/>
    <n v="32"/>
    <x v="2"/>
    <n v="3219.88"/>
    <n v="3384.5"/>
    <s v="Returning"/>
    <n v="0.14000000000000001"/>
    <s v="Cash"/>
    <s v="Retail"/>
    <x v="10"/>
    <n v="103036.16"/>
    <n v="-100090.29000000001"/>
    <n v="-33.976478934915669"/>
    <x v="1"/>
    <n v="2023"/>
  </r>
  <r>
    <n v="1043"/>
    <d v="2023-08-03T00:00:00"/>
    <s v="David"/>
    <x v="3"/>
    <n v="6601.89"/>
    <n v="22"/>
    <x v="3"/>
    <n v="4260"/>
    <n v="4656.58"/>
    <s v="New"/>
    <n v="0"/>
    <s v="Bank Transfer"/>
    <s v="Online"/>
    <x v="16"/>
    <n v="93720"/>
    <n v="-87118.11"/>
    <n v="-13.195934800488951"/>
    <x v="3"/>
    <n v="2023"/>
  </r>
  <r>
    <n v="1048"/>
    <d v="2023-10-20T00:00:00"/>
    <s v="Alice"/>
    <x v="2"/>
    <n v="9688.52"/>
    <n v="6"/>
    <x v="3"/>
    <n v="3717.3"/>
    <n v="4061.37"/>
    <s v="New"/>
    <n v="0.03"/>
    <s v="Bank Transfer"/>
    <s v="Retail"/>
    <x v="9"/>
    <n v="22303.800000000003"/>
    <n v="-12615.280000000002"/>
    <n v="-1.3020853546258873"/>
    <x v="7"/>
    <n v="2023"/>
  </r>
  <r>
    <n v="1039"/>
    <d v="2023-03-16T00:00:00"/>
    <s v="Eve"/>
    <x v="0"/>
    <n v="6076.01"/>
    <n v="35"/>
    <x v="0"/>
    <n v="2735.74"/>
    <n v="3181.22999999999"/>
    <s v="New"/>
    <n v="0.1"/>
    <s v="Credit Card"/>
    <s v="Retail"/>
    <x v="7"/>
    <n v="95750.9"/>
    <n v="-89674.89"/>
    <n v="-14.758845031525622"/>
    <x v="4"/>
    <n v="2023"/>
  </r>
  <r>
    <n v="1093"/>
    <d v="2023-11-22T00:00:00"/>
    <s v="Charlie"/>
    <x v="0"/>
    <n v="862.1"/>
    <n v="22"/>
    <x v="0"/>
    <n v="3285.25"/>
    <n v="3634.58"/>
    <s v="New"/>
    <n v="0.13"/>
    <s v="Bank Transfer"/>
    <s v="Online"/>
    <x v="19"/>
    <n v="72275.5"/>
    <n v="-71413.399999999994"/>
    <n v="-82.836561883772177"/>
    <x v="8"/>
    <n v="2023"/>
  </r>
  <r>
    <n v="1042"/>
    <d v="2023-05-26T00:00:00"/>
    <s v="Bob"/>
    <x v="3"/>
    <n v="848.28"/>
    <n v="1"/>
    <x v="3"/>
    <n v="1406.24"/>
    <n v="1535.57"/>
    <s v="New"/>
    <n v="0.08"/>
    <s v="Credit Card"/>
    <s v="Retail"/>
    <x v="12"/>
    <n v="1406.24"/>
    <n v="-557.96"/>
    <n v="-0.65775451501862603"/>
    <x v="10"/>
    <n v="2023"/>
  </r>
  <r>
    <n v="1026"/>
    <d v="2023-05-08T00:00:00"/>
    <s v="Charlie"/>
    <x v="1"/>
    <n v="9519.09"/>
    <n v="20"/>
    <x v="2"/>
    <n v="2985.63"/>
    <n v="3452.14"/>
    <s v="New"/>
    <n v="0.17"/>
    <s v="Credit Card"/>
    <s v="Retail"/>
    <x v="5"/>
    <n v="59712.600000000006"/>
    <n v="-50193.510000000009"/>
    <n v="-5.2729315512302133"/>
    <x v="10"/>
    <n v="2023"/>
  </r>
  <r>
    <n v="1099"/>
    <d v="2023-12-07T00:00:00"/>
    <s v="Bob"/>
    <x v="3"/>
    <n v="3043.18"/>
    <n v="22"/>
    <x v="0"/>
    <n v="2471.67"/>
    <n v="2533.04"/>
    <s v="Returning"/>
    <n v="0.02"/>
    <s v="Bank Transfer"/>
    <s v="Retail"/>
    <x v="12"/>
    <n v="54376.740000000005"/>
    <n v="-51333.560000000005"/>
    <n v="-16.868394245493203"/>
    <x v="9"/>
    <n v="2023"/>
  </r>
  <r>
    <n v="1050"/>
    <d v="2023-02-11T00:00:00"/>
    <s v="Charlie"/>
    <x v="1"/>
    <n v="1011.46"/>
    <n v="48"/>
    <x v="0"/>
    <n v="710.06"/>
    <n v="851.349999999999"/>
    <s v="Returning"/>
    <n v="0.04"/>
    <s v="Bank Transfer"/>
    <s v="Online"/>
    <x v="5"/>
    <n v="34082.879999999997"/>
    <n v="-33071.42"/>
    <n v="-32.69671563877958"/>
    <x v="0"/>
    <n v="2023"/>
  </r>
  <r>
    <n v="1025"/>
    <d v="2023-12-22T00:00:00"/>
    <s v="Bob"/>
    <x v="2"/>
    <n v="6030.54"/>
    <n v="11"/>
    <x v="1"/>
    <n v="1250.5899999999999"/>
    <n v="1515.48999999999"/>
    <s v="Returning"/>
    <n v="0.21"/>
    <s v="Bank Transfer"/>
    <s v="Retail"/>
    <x v="3"/>
    <n v="13756.49"/>
    <n v="-7725.95"/>
    <n v="-1.2811373442510952"/>
    <x v="9"/>
    <n v="2023"/>
  </r>
  <r>
    <n v="1024"/>
    <d v="2023-02-10T00:00:00"/>
    <s v="David"/>
    <x v="3"/>
    <n v="6274.12"/>
    <n v="13"/>
    <x v="2"/>
    <n v="1493.88"/>
    <n v="1781.09"/>
    <s v="New"/>
    <n v="0.04"/>
    <s v="Cash"/>
    <s v="Retail"/>
    <x v="16"/>
    <n v="19420.440000000002"/>
    <n v="-13146.320000000003"/>
    <n v="-2.0953249220607835"/>
    <x v="0"/>
    <n v="2023"/>
  </r>
  <r>
    <n v="1013"/>
    <d v="2023-02-03T00:00:00"/>
    <s v="Bob"/>
    <x v="0"/>
    <n v="6520.2"/>
    <n v="42"/>
    <x v="2"/>
    <n v="4625.33"/>
    <n v="4642.83"/>
    <s v="New"/>
    <n v="0.19"/>
    <s v="Credit Card"/>
    <s v="Online"/>
    <x v="0"/>
    <n v="194263.86"/>
    <n v="-187743.65999999997"/>
    <n v="-28.794156620962543"/>
    <x v="0"/>
    <n v="2023"/>
  </r>
  <r>
    <n v="1060"/>
    <d v="2023-01-17T00:00:00"/>
    <s v="Bob"/>
    <x v="2"/>
    <n v="2747.28"/>
    <n v="3"/>
    <x v="3"/>
    <n v="1190.4100000000001"/>
    <n v="1582.89"/>
    <s v="New"/>
    <n v="0.02"/>
    <s v="Credit Card"/>
    <s v="Retail"/>
    <x v="3"/>
    <n v="3571.2300000000005"/>
    <n v="-823.95000000000027"/>
    <n v="-0.29991482484493759"/>
    <x v="5"/>
    <n v="2023"/>
  </r>
  <r>
    <n v="1007"/>
    <d v="2023-06-14T00:00:00"/>
    <s v="Alice"/>
    <x v="0"/>
    <n v="249.6"/>
    <n v="9"/>
    <x v="2"/>
    <n v="1481.76"/>
    <n v="1668.95"/>
    <s v="Returning"/>
    <n v="0.12"/>
    <s v="Credit Card"/>
    <s v="Retail"/>
    <x v="15"/>
    <n v="13335.84"/>
    <n v="-13086.24"/>
    <n v="-52.428846153846152"/>
    <x v="6"/>
    <n v="2023"/>
  </r>
  <r>
    <n v="1057"/>
    <d v="2023-06-02T00:00:00"/>
    <s v="Bob"/>
    <x v="2"/>
    <n v="9653.65"/>
    <n v="12"/>
    <x v="3"/>
    <n v="1878.3"/>
    <n v="2087.4499999999998"/>
    <s v="New"/>
    <n v="0.05"/>
    <s v="Bank Transfer"/>
    <s v="Retail"/>
    <x v="3"/>
    <n v="22539.599999999999"/>
    <n v="-12885.949999999999"/>
    <n v="-1.3348267235708773"/>
    <x v="6"/>
    <n v="2023"/>
  </r>
  <r>
    <n v="1036"/>
    <d v="2023-03-17T00:00:00"/>
    <s v="Alice"/>
    <x v="3"/>
    <n v="2583.84"/>
    <n v="23"/>
    <x v="1"/>
    <n v="3335.53"/>
    <n v="3742.12"/>
    <s v="New"/>
    <n v="0.03"/>
    <s v="Bank Transfer"/>
    <s v="Retail"/>
    <x v="18"/>
    <n v="76717.19"/>
    <n v="-74133.350000000006"/>
    <n v="-28.691153476995481"/>
    <x v="4"/>
    <n v="2023"/>
  </r>
  <r>
    <n v="1045"/>
    <d v="2023-03-28T00:00:00"/>
    <s v="Eve"/>
    <x v="1"/>
    <n v="6792.66"/>
    <n v="14"/>
    <x v="2"/>
    <n v="635.28"/>
    <n v="831.13"/>
    <s v="Returning"/>
    <n v="0.17"/>
    <s v="Bank Transfer"/>
    <s v="Retail"/>
    <x v="8"/>
    <n v="8893.92"/>
    <n v="-2101.2600000000002"/>
    <n v="-0.30934273171334947"/>
    <x v="4"/>
    <n v="2023"/>
  </r>
  <r>
    <n v="1020"/>
    <d v="2023-04-27T00:00:00"/>
    <s v="Alice"/>
    <x v="2"/>
    <n v="7095.64"/>
    <n v="33"/>
    <x v="0"/>
    <n v="4772.03"/>
    <n v="4805.17"/>
    <s v="Returning"/>
    <n v="0.28000000000000003"/>
    <s v="Bank Transfer"/>
    <s v="Online"/>
    <x v="9"/>
    <n v="157476.99"/>
    <n v="-150381.34999999998"/>
    <n v="-21.19348642264827"/>
    <x v="1"/>
    <n v="2023"/>
  </r>
  <r>
    <n v="1065"/>
    <d v="2023-12-28T00:00:00"/>
    <s v="David"/>
    <x v="1"/>
    <n v="6139.07"/>
    <n v="18"/>
    <x v="1"/>
    <n v="4334.58"/>
    <n v="4431.04"/>
    <s v="New"/>
    <n v="0.02"/>
    <s v="Bank Transfer"/>
    <s v="Retail"/>
    <x v="13"/>
    <n v="78022.44"/>
    <n v="-71883.37"/>
    <n v="-11.709162788500539"/>
    <x v="9"/>
    <n v="2023"/>
  </r>
  <r>
    <n v="1008"/>
    <d v="2023-12-08T00:00:00"/>
    <s v="Alice"/>
    <x v="2"/>
    <n v="3197.78"/>
    <n v="49"/>
    <x v="3"/>
    <n v="2907.22"/>
    <n v="3385.6099999999901"/>
    <s v="New"/>
    <n v="0.13"/>
    <s v="Cash"/>
    <s v="Online"/>
    <x v="9"/>
    <n v="142453.78"/>
    <n v="-139256"/>
    <n v="-43.547711224662109"/>
    <x v="9"/>
    <n v="2023"/>
  </r>
  <r>
    <n v="1016"/>
    <d v="2023-01-27T00:00:00"/>
    <s v="Eve"/>
    <x v="0"/>
    <n v="2783.85"/>
    <n v="41"/>
    <x v="1"/>
    <n v="3386.49"/>
    <n v="3430.99"/>
    <s v="New"/>
    <n v="0.21"/>
    <s v="Bank Transfer"/>
    <s v="Retail"/>
    <x v="7"/>
    <n v="138846.09"/>
    <n v="-136062.24"/>
    <n v="-48.875564416186215"/>
    <x v="5"/>
    <n v="2023"/>
  </r>
  <r>
    <n v="1014"/>
    <d v="2023-11-09T00:00:00"/>
    <s v="David"/>
    <x v="0"/>
    <n v="6016.92"/>
    <n v="9"/>
    <x v="3"/>
    <n v="132.47"/>
    <n v="316.39"/>
    <s v="New"/>
    <n v="0.14000000000000001"/>
    <s v="Credit Card"/>
    <s v="Online"/>
    <x v="11"/>
    <n v="1192.23"/>
    <n v="4824.6900000000005"/>
    <n v="0.80185377236193944"/>
    <x v="8"/>
    <n v="2023"/>
  </r>
  <r>
    <n v="1076"/>
    <d v="2023-10-14T00:00:00"/>
    <s v="Charlie"/>
    <x v="2"/>
    <n v="8674.35"/>
    <n v="23"/>
    <x v="1"/>
    <n v="1727.78"/>
    <n v="1984.34"/>
    <s v="Returning"/>
    <n v="0.24"/>
    <s v="Bank Transfer"/>
    <s v="Online"/>
    <x v="10"/>
    <n v="39738.94"/>
    <n v="-31064.590000000004"/>
    <n v="-3.5812008968971742"/>
    <x v="7"/>
    <n v="2023"/>
  </r>
  <r>
    <n v="1087"/>
    <d v="2023-05-14T00:00:00"/>
    <s v="Charlie"/>
    <x v="1"/>
    <n v="9472.66"/>
    <n v="10"/>
    <x v="3"/>
    <n v="3988.52"/>
    <n v="4240.2299999999996"/>
    <s v="New"/>
    <n v="0.05"/>
    <s v="Credit Card"/>
    <s v="Online"/>
    <x v="5"/>
    <n v="39885.199999999997"/>
    <n v="-30412.539999999997"/>
    <n v="-3.2105596527269"/>
    <x v="10"/>
    <n v="2023"/>
  </r>
  <r>
    <n v="1015"/>
    <d v="2023-08-07T00:00:00"/>
    <s v="Alice"/>
    <x v="3"/>
    <n v="1148.47"/>
    <n v="19"/>
    <x v="2"/>
    <n v="433.54"/>
    <n v="445.48"/>
    <s v="New"/>
    <n v="0.28999999999999998"/>
    <s v="Bank Transfer"/>
    <s v="Retail"/>
    <x v="18"/>
    <n v="8237.26"/>
    <n v="-7088.79"/>
    <n v="-6.1723771626598865"/>
    <x v="3"/>
    <n v="2023"/>
  </r>
  <r>
    <n v="1092"/>
    <d v="2023-06-17T00:00:00"/>
    <s v="Alice"/>
    <x v="3"/>
    <n v="1632.8"/>
    <n v="47"/>
    <x v="0"/>
    <n v="1447.45"/>
    <n v="1703.02"/>
    <s v="Returning"/>
    <n v="0.12"/>
    <s v="Bank Transfer"/>
    <s v="Retail"/>
    <x v="18"/>
    <n v="68030.150000000009"/>
    <n v="-66397.350000000006"/>
    <n v="-40.664717050465462"/>
    <x v="6"/>
    <n v="2023"/>
  </r>
  <r>
    <n v="1098"/>
    <d v="2023-04-08T00:00:00"/>
    <s v="Eve"/>
    <x v="0"/>
    <n v="9452.89"/>
    <n v="5"/>
    <x v="3"/>
    <n v="2947.22"/>
    <n v="3145.27"/>
    <s v="New"/>
    <n v="0.1"/>
    <s v="Credit Card"/>
    <s v="Retail"/>
    <x v="7"/>
    <n v="14736.099999999999"/>
    <n v="-5283.2099999999991"/>
    <n v="-0.55889891874336839"/>
    <x v="1"/>
    <n v="2023"/>
  </r>
  <r>
    <n v="1066"/>
    <d v="2023-09-25T00:00:00"/>
    <s v="Eve"/>
    <x v="3"/>
    <n v="7391.7"/>
    <n v="47"/>
    <x v="1"/>
    <n v="1319.24"/>
    <n v="1805.56"/>
    <s v="New"/>
    <n v="0.26"/>
    <s v="Credit Card"/>
    <s v="Retail"/>
    <x v="14"/>
    <n v="62004.28"/>
    <n v="-54612.58"/>
    <n v="-7.3883653286794653"/>
    <x v="2"/>
    <n v="2023"/>
  </r>
  <r>
    <n v="1032"/>
    <d v="2023-08-25T00:00:00"/>
    <s v="Bob"/>
    <x v="0"/>
    <n v="8841.64"/>
    <n v="23"/>
    <x v="3"/>
    <n v="4673.1899999999996"/>
    <n v="4761.1799999999903"/>
    <s v="Returning"/>
    <n v="0.17"/>
    <s v="Credit Card"/>
    <s v="Retail"/>
    <x v="0"/>
    <n v="107483.37"/>
    <n v="-98641.73"/>
    <n v="-11.156496984722292"/>
    <x v="3"/>
    <n v="2023"/>
  </r>
  <r>
    <n v="1087"/>
    <d v="2023-11-05T00:00:00"/>
    <s v="Eve"/>
    <x v="3"/>
    <n v="2106.06"/>
    <n v="30"/>
    <x v="3"/>
    <n v="698.74"/>
    <n v="882.28"/>
    <s v="Returning"/>
    <n v="0.15"/>
    <s v="Credit Card"/>
    <s v="Online"/>
    <x v="14"/>
    <n v="20962.2"/>
    <n v="-18856.14"/>
    <n v="-8.9532776843964559"/>
    <x v="8"/>
    <n v="2023"/>
  </r>
  <r>
    <n v="1063"/>
    <d v="2023-06-22T00:00:00"/>
    <s v="Bob"/>
    <x v="2"/>
    <n v="5917.1"/>
    <n v="25"/>
    <x v="3"/>
    <n v="3997.1"/>
    <n v="4212.6499999999996"/>
    <s v="New"/>
    <n v="0.22"/>
    <s v="Cash"/>
    <s v="Online"/>
    <x v="3"/>
    <n v="99927.5"/>
    <n v="-94010.4"/>
    <n v="-15.887918067972485"/>
    <x v="6"/>
    <n v="2023"/>
  </r>
  <r>
    <n v="1086"/>
    <d v="2023-07-09T00:00:00"/>
    <s v="David"/>
    <x v="0"/>
    <n v="7041.28"/>
    <n v="28"/>
    <x v="1"/>
    <n v="2564.35"/>
    <n v="2765.79"/>
    <s v="Returning"/>
    <n v="0.17"/>
    <s v="Credit Card"/>
    <s v="Online"/>
    <x v="11"/>
    <n v="71801.8"/>
    <n v="-64760.520000000004"/>
    <n v="-9.1972652699509183"/>
    <x v="11"/>
    <n v="2023"/>
  </r>
  <r>
    <n v="1051"/>
    <d v="2023-05-02T00:00:00"/>
    <s v="Alice"/>
    <x v="0"/>
    <n v="6833.11"/>
    <n v="34"/>
    <x v="0"/>
    <n v="3764.14"/>
    <n v="4100.3999999999996"/>
    <s v="Returning"/>
    <n v="0.05"/>
    <s v="Bank Transfer"/>
    <s v="Retail"/>
    <x v="15"/>
    <n v="127980.76"/>
    <n v="-121147.65"/>
    <n v="-17.7295038423207"/>
    <x v="10"/>
    <n v="2023"/>
  </r>
  <r>
    <n v="1025"/>
    <d v="2023-02-15T00:00:00"/>
    <s v="David"/>
    <x v="2"/>
    <n v="4140.7"/>
    <n v="45"/>
    <x v="2"/>
    <n v="1588.04"/>
    <n v="1703.6399999999901"/>
    <s v="New"/>
    <n v="0.2"/>
    <s v="Bank Transfer"/>
    <s v="Retail"/>
    <x v="2"/>
    <n v="71461.8"/>
    <n v="-67321.100000000006"/>
    <n v="-16.258386263192214"/>
    <x v="0"/>
    <n v="2023"/>
  </r>
  <r>
    <n v="1058"/>
    <d v="2023-03-05T00:00:00"/>
    <s v="Eve"/>
    <x v="0"/>
    <n v="252.41"/>
    <n v="48"/>
    <x v="0"/>
    <n v="2596.7199999999998"/>
    <n v="2715.0499999999902"/>
    <s v="Returning"/>
    <n v="0.04"/>
    <s v="Cash"/>
    <s v="Online"/>
    <x v="7"/>
    <n v="124642.56"/>
    <n v="-124390.15"/>
    <n v="-492.80991244403947"/>
    <x v="4"/>
    <n v="2023"/>
  </r>
  <r>
    <n v="1063"/>
    <d v="2023-05-10T00:00:00"/>
    <s v="David"/>
    <x v="3"/>
    <n v="5870.97"/>
    <n v="47"/>
    <x v="3"/>
    <n v="4291.33"/>
    <n v="4658.6400000000003"/>
    <s v="New"/>
    <n v="0.24"/>
    <s v="Credit Card"/>
    <s v="Retail"/>
    <x v="16"/>
    <n v="201692.51"/>
    <n v="-195821.54"/>
    <n v="-33.354205523107765"/>
    <x v="10"/>
    <n v="2023"/>
  </r>
  <r>
    <n v="1062"/>
    <d v="2023-11-06T00:00:00"/>
    <s v="David"/>
    <x v="3"/>
    <n v="2605.71"/>
    <n v="25"/>
    <x v="1"/>
    <n v="2361.0500000000002"/>
    <n v="2616.19"/>
    <s v="New"/>
    <n v="0.3"/>
    <s v="Bank Transfer"/>
    <s v="Retail"/>
    <x v="16"/>
    <n v="59026.250000000007"/>
    <n v="-56420.540000000008"/>
    <n v="-21.652655130463486"/>
    <x v="8"/>
    <n v="2023"/>
  </r>
  <r>
    <n v="1022"/>
    <d v="2023-12-29T00:00:00"/>
    <s v="David"/>
    <x v="0"/>
    <n v="4557.5200000000004"/>
    <n v="10"/>
    <x v="0"/>
    <n v="1830.61"/>
    <n v="2044.04"/>
    <s v="New"/>
    <n v="0.11"/>
    <s v="Cash"/>
    <s v="Online"/>
    <x v="11"/>
    <n v="18306.099999999999"/>
    <n v="-13748.579999999998"/>
    <n v="-3.0166801242781154"/>
    <x v="9"/>
    <n v="2023"/>
  </r>
  <r>
    <n v="1058"/>
    <d v="2023-07-12T00:00:00"/>
    <s v="Eve"/>
    <x v="3"/>
    <n v="9580.0499999999993"/>
    <n v="14"/>
    <x v="3"/>
    <n v="2703.97"/>
    <n v="2796.8799999999901"/>
    <s v="New"/>
    <n v="0.13"/>
    <s v="Bank Transfer"/>
    <s v="Online"/>
    <x v="14"/>
    <n v="37855.579999999994"/>
    <n v="-28275.529999999995"/>
    <n v="-2.9515012969660908"/>
    <x v="11"/>
    <n v="2023"/>
  </r>
  <r>
    <n v="1058"/>
    <d v="2023-11-03T00:00:00"/>
    <s v="David"/>
    <x v="1"/>
    <n v="4050.45"/>
    <n v="42"/>
    <x v="2"/>
    <n v="3600.95"/>
    <n v="3702.8399999999901"/>
    <s v="Returning"/>
    <n v="0.01"/>
    <s v="Cash"/>
    <s v="Retail"/>
    <x v="13"/>
    <n v="151239.9"/>
    <n v="-147189.44999999998"/>
    <n v="-36.339036403362584"/>
    <x v="8"/>
    <n v="2023"/>
  </r>
  <r>
    <n v="1086"/>
    <d v="2023-06-30T00:00:00"/>
    <s v="Bob"/>
    <x v="0"/>
    <n v="8414.0400000000009"/>
    <n v="46"/>
    <x v="2"/>
    <n v="2245.64"/>
    <n v="2260.81"/>
    <s v="New"/>
    <n v="0"/>
    <s v="Cash"/>
    <s v="Retail"/>
    <x v="0"/>
    <n v="103299.43999999999"/>
    <n v="-94885.4"/>
    <n v="-11.277032198563353"/>
    <x v="6"/>
    <n v="2023"/>
  </r>
  <r>
    <n v="1049"/>
    <d v="2023-10-19T00:00:00"/>
    <s v="Eve"/>
    <x v="2"/>
    <n v="1966.55"/>
    <n v="30"/>
    <x v="2"/>
    <n v="4697.4399999999996"/>
    <n v="4752.24"/>
    <s v="New"/>
    <n v="0.28000000000000003"/>
    <s v="Credit Card"/>
    <s v="Online"/>
    <x v="6"/>
    <n v="140923.19999999998"/>
    <n v="-138956.65"/>
    <n v="-70.660115430576383"/>
    <x v="7"/>
    <n v="2023"/>
  </r>
  <r>
    <n v="1052"/>
    <d v="2023-10-09T00:00:00"/>
    <s v="David"/>
    <x v="1"/>
    <n v="6757.36"/>
    <n v="41"/>
    <x v="3"/>
    <n v="1509.98"/>
    <n v="1792.83"/>
    <s v="New"/>
    <n v="0.04"/>
    <s v="Cash"/>
    <s v="Retail"/>
    <x v="13"/>
    <n v="61909.18"/>
    <n v="-55151.82"/>
    <n v="-8.1617406797921088"/>
    <x v="7"/>
    <n v="2023"/>
  </r>
  <r>
    <n v="1042"/>
    <d v="2023-01-29T00:00:00"/>
    <s v="Eve"/>
    <x v="0"/>
    <n v="9772.3700000000008"/>
    <n v="25"/>
    <x v="1"/>
    <n v="2403.54"/>
    <n v="2850.56"/>
    <s v="New"/>
    <n v="0.13"/>
    <s v="Bank Transfer"/>
    <s v="Online"/>
    <x v="7"/>
    <n v="60088.5"/>
    <n v="-50316.13"/>
    <n v="-5.1488154869289637"/>
    <x v="5"/>
    <n v="2023"/>
  </r>
  <r>
    <n v="1070"/>
    <d v="2023-05-29T00:00:00"/>
    <s v="Charlie"/>
    <x v="2"/>
    <n v="1108.74"/>
    <n v="14"/>
    <x v="0"/>
    <n v="3796.79"/>
    <n v="3947.5"/>
    <s v="Returning"/>
    <n v="0.24"/>
    <s v="Bank Transfer"/>
    <s v="Online"/>
    <x v="10"/>
    <n v="53155.06"/>
    <n v="-52046.32"/>
    <n v="-46.9418619333658"/>
    <x v="10"/>
    <n v="2023"/>
  </r>
  <r>
    <n v="1015"/>
    <d v="2023-09-24T00:00:00"/>
    <s v="Bob"/>
    <x v="3"/>
    <n v="182.37"/>
    <n v="35"/>
    <x v="2"/>
    <n v="3461.15"/>
    <n v="3631.75"/>
    <s v="Returning"/>
    <n v="0.27"/>
    <s v="Credit Card"/>
    <s v="Online"/>
    <x v="12"/>
    <n v="121140.25"/>
    <n v="-120957.88"/>
    <n v="-663.25535998245323"/>
    <x v="2"/>
    <n v="2023"/>
  </r>
  <r>
    <n v="1054"/>
    <d v="2023-10-23T00:00:00"/>
    <s v="David"/>
    <x v="2"/>
    <n v="4392.47"/>
    <n v="48"/>
    <x v="3"/>
    <n v="4325.0200000000004"/>
    <n v="4391.67"/>
    <s v="Returning"/>
    <n v="0.16"/>
    <s v="Credit Card"/>
    <s v="Retail"/>
    <x v="2"/>
    <n v="207600.96000000002"/>
    <n v="-203208.49000000002"/>
    <n v="-46.262920406969201"/>
    <x v="7"/>
    <n v="2023"/>
  </r>
  <r>
    <n v="1060"/>
    <d v="2023-01-11T00:00:00"/>
    <s v="Charlie"/>
    <x v="1"/>
    <n v="1016.99"/>
    <n v="34"/>
    <x v="3"/>
    <n v="4984.21"/>
    <n v="5184.6400000000003"/>
    <s v="New"/>
    <n v="0.17"/>
    <s v="Cash"/>
    <s v="Online"/>
    <x v="5"/>
    <n v="169463.14"/>
    <n v="-168446.15000000002"/>
    <n v="-165.63206127887199"/>
    <x v="5"/>
    <n v="2023"/>
  </r>
  <r>
    <n v="1097"/>
    <d v="2023-06-13T00:00:00"/>
    <s v="Charlie"/>
    <x v="3"/>
    <n v="7509.01"/>
    <n v="10"/>
    <x v="0"/>
    <n v="2162.9499999999998"/>
    <n v="2191.1899999999901"/>
    <s v="Returning"/>
    <n v="0.2"/>
    <s v="Credit Card"/>
    <s v="Online"/>
    <x v="4"/>
    <n v="21629.5"/>
    <n v="-14120.49"/>
    <n v="-1.8804729251925354"/>
    <x v="6"/>
    <n v="2023"/>
  </r>
  <r>
    <n v="1008"/>
    <d v="2023-04-23T00:00:00"/>
    <s v="Eve"/>
    <x v="0"/>
    <n v="9154.0300000000007"/>
    <n v="35"/>
    <x v="2"/>
    <n v="600.20000000000005"/>
    <n v="1059.82"/>
    <s v="Returning"/>
    <n v="0.28999999999999998"/>
    <s v="Bank Transfer"/>
    <s v="Retail"/>
    <x v="7"/>
    <n v="21007"/>
    <n v="-11852.97"/>
    <n v="-1.2948362633725254"/>
    <x v="1"/>
    <n v="2023"/>
  </r>
  <r>
    <n v="1053"/>
    <d v="2023-07-06T00:00:00"/>
    <s v="Charlie"/>
    <x v="3"/>
    <n v="4396.8100000000004"/>
    <n v="11"/>
    <x v="3"/>
    <n v="200.56"/>
    <n v="540.38"/>
    <s v="New"/>
    <n v="0.18"/>
    <s v="Bank Transfer"/>
    <s v="Online"/>
    <x v="4"/>
    <n v="2206.16"/>
    <n v="2190.6500000000005"/>
    <n v="0.49823622126041389"/>
    <x v="11"/>
    <n v="2023"/>
  </r>
  <r>
    <n v="1060"/>
    <d v="2023-10-22T00:00:00"/>
    <s v="Bob"/>
    <x v="0"/>
    <n v="2661.25"/>
    <n v="11"/>
    <x v="0"/>
    <n v="3648.04"/>
    <n v="4143.51"/>
    <s v="Returning"/>
    <n v="0.17"/>
    <s v="Credit Card"/>
    <s v="Retail"/>
    <x v="0"/>
    <n v="40128.44"/>
    <n v="-37467.19"/>
    <n v="-14.078793799906061"/>
    <x v="7"/>
    <n v="2023"/>
  </r>
  <r>
    <n v="1005"/>
    <d v="2023-08-20T00:00:00"/>
    <s v="Bob"/>
    <x v="0"/>
    <n v="4400.59"/>
    <n v="21"/>
    <x v="1"/>
    <n v="4376.37"/>
    <n v="4818.95"/>
    <s v="New"/>
    <n v="0"/>
    <s v="Credit Card"/>
    <s v="Retail"/>
    <x v="0"/>
    <n v="91903.77"/>
    <n v="-87503.180000000008"/>
    <n v="-19.884420043675963"/>
    <x v="3"/>
    <n v="2023"/>
  </r>
  <r>
    <n v="1068"/>
    <d v="2023-08-15T00:00:00"/>
    <s v="Alice"/>
    <x v="2"/>
    <n v="7262.13"/>
    <n v="21"/>
    <x v="1"/>
    <n v="1142.53"/>
    <n v="1384.3"/>
    <s v="Returning"/>
    <n v="0.02"/>
    <s v="Credit Card"/>
    <s v="Retail"/>
    <x v="9"/>
    <n v="23993.13"/>
    <n v="-16731"/>
    <n v="-2.3038695258829023"/>
    <x v="3"/>
    <n v="2023"/>
  </r>
  <r>
    <n v="1006"/>
    <d v="2023-11-06T00:00:00"/>
    <s v="Bob"/>
    <x v="2"/>
    <n v="189.64"/>
    <n v="22"/>
    <x v="1"/>
    <n v="834.32"/>
    <n v="1098.97"/>
    <s v="Returning"/>
    <n v="0.17"/>
    <s v="Cash"/>
    <s v="Online"/>
    <x v="3"/>
    <n v="18355.04"/>
    <n v="-18165.400000000001"/>
    <n v="-95.788863109048734"/>
    <x v="8"/>
    <n v="2023"/>
  </r>
  <r>
    <n v="1096"/>
    <d v="2023-04-08T00:00:00"/>
    <s v="Charlie"/>
    <x v="2"/>
    <n v="5935.59"/>
    <n v="45"/>
    <x v="2"/>
    <n v="357.92"/>
    <n v="461.3"/>
    <s v="Returning"/>
    <n v="0.28000000000000003"/>
    <s v="Cash"/>
    <s v="Online"/>
    <x v="10"/>
    <n v="16106.400000000001"/>
    <n v="-10170.810000000001"/>
    <n v="-1.7135297417779869"/>
    <x v="1"/>
    <n v="2023"/>
  </r>
  <r>
    <n v="1094"/>
    <d v="2023-02-24T00:00:00"/>
    <s v="Bob"/>
    <x v="1"/>
    <n v="6171.59"/>
    <n v="7"/>
    <x v="0"/>
    <n v="4122.38"/>
    <n v="4358.78"/>
    <s v="Returning"/>
    <n v="0.26"/>
    <s v="Bank Transfer"/>
    <s v="Retail"/>
    <x v="1"/>
    <n v="28856.66"/>
    <n v="-22685.07"/>
    <n v="-3.6757253803314867"/>
    <x v="0"/>
    <n v="2023"/>
  </r>
  <r>
    <n v="1047"/>
    <d v="2023-04-21T00:00:00"/>
    <s v="Eve"/>
    <x v="1"/>
    <n v="6413.11"/>
    <n v="17"/>
    <x v="0"/>
    <n v="1591.34"/>
    <n v="2043.82"/>
    <s v="New"/>
    <n v="0.28999999999999998"/>
    <s v="Cash"/>
    <s v="Retail"/>
    <x v="8"/>
    <n v="27052.78"/>
    <n v="-20639.669999999998"/>
    <n v="-3.2183558367157277"/>
    <x v="1"/>
    <n v="2023"/>
  </r>
  <r>
    <n v="1099"/>
    <d v="2023-06-01T00:00:00"/>
    <s v="Alice"/>
    <x v="2"/>
    <n v="2496.02"/>
    <n v="2"/>
    <x v="3"/>
    <n v="2038.4"/>
    <n v="2073.3200000000002"/>
    <s v="New"/>
    <n v="0.16"/>
    <s v="Cash"/>
    <s v="Retail"/>
    <x v="9"/>
    <n v="4076.8"/>
    <n v="-1580.7800000000002"/>
    <n v="-0.63332024583136359"/>
    <x v="6"/>
    <n v="2023"/>
  </r>
  <r>
    <n v="1055"/>
    <d v="2023-09-03T00:00:00"/>
    <s v="Charlie"/>
    <x v="1"/>
    <n v="7169.12"/>
    <n v="12"/>
    <x v="3"/>
    <n v="2538.61"/>
    <n v="2971.75"/>
    <s v="Returning"/>
    <n v="0.24"/>
    <s v="Cash"/>
    <s v="Online"/>
    <x v="5"/>
    <n v="30463.32"/>
    <n v="-23294.2"/>
    <n v="-3.2492411899926354"/>
    <x v="2"/>
    <n v="2023"/>
  </r>
  <r>
    <n v="1040"/>
    <d v="2023-03-10T00:00:00"/>
    <s v="Alice"/>
    <x v="3"/>
    <n v="1004.78"/>
    <n v="42"/>
    <x v="3"/>
    <n v="4205.29"/>
    <n v="4382.3500000000004"/>
    <s v="New"/>
    <n v="0.25"/>
    <s v="Cash"/>
    <s v="Retail"/>
    <x v="18"/>
    <n v="176622.18"/>
    <n v="-175617.4"/>
    <n v="-174.78194231573082"/>
    <x v="4"/>
    <n v="2023"/>
  </r>
  <r>
    <n v="1052"/>
    <d v="2023-11-08T00:00:00"/>
    <s v="Charlie"/>
    <x v="3"/>
    <n v="2072.7800000000002"/>
    <n v="18"/>
    <x v="0"/>
    <n v="3271.62"/>
    <n v="3722.38"/>
    <s v="Returning"/>
    <n v="0.19"/>
    <s v="Bank Transfer"/>
    <s v="Retail"/>
    <x v="4"/>
    <n v="58889.159999999996"/>
    <n v="-56816.38"/>
    <n v="-27.410714113412901"/>
    <x v="8"/>
    <n v="2023"/>
  </r>
  <r>
    <n v="1016"/>
    <d v="2023-10-16T00:00:00"/>
    <s v="Eve"/>
    <x v="1"/>
    <n v="8786.9500000000007"/>
    <n v="11"/>
    <x v="3"/>
    <n v="3094.57"/>
    <n v="3565.6"/>
    <s v="Returning"/>
    <n v="0.1"/>
    <s v="Credit Card"/>
    <s v="Retail"/>
    <x v="8"/>
    <n v="34040.270000000004"/>
    <n v="-25253.320000000003"/>
    <n v="-2.8739574027392898"/>
    <x v="7"/>
    <n v="2023"/>
  </r>
  <r>
    <n v="1013"/>
    <d v="2023-09-07T00:00:00"/>
    <s v="Alice"/>
    <x v="1"/>
    <n v="7413.36"/>
    <n v="16"/>
    <x v="0"/>
    <n v="919.58"/>
    <n v="1258.3"/>
    <s v="Returning"/>
    <n v="0.14000000000000001"/>
    <s v="Bank Transfer"/>
    <s v="Online"/>
    <x v="17"/>
    <n v="14713.28"/>
    <n v="-7299.920000000001"/>
    <n v="-0.98469789677015573"/>
    <x v="2"/>
    <n v="2023"/>
  </r>
  <r>
    <n v="1030"/>
    <d v="2023-02-05T00:00:00"/>
    <s v="David"/>
    <x v="3"/>
    <n v="236.08"/>
    <n v="49"/>
    <x v="0"/>
    <n v="2590.29"/>
    <n v="2925.86"/>
    <s v="Returning"/>
    <n v="0.26"/>
    <s v="Cash"/>
    <s v="Retail"/>
    <x v="16"/>
    <n v="126924.20999999999"/>
    <n v="-126688.12999999999"/>
    <n v="-536.63220094883081"/>
    <x v="0"/>
    <n v="2023"/>
  </r>
  <r>
    <n v="1019"/>
    <d v="2023-08-27T00:00:00"/>
    <s v="Charlie"/>
    <x v="0"/>
    <n v="2558.92"/>
    <n v="18"/>
    <x v="1"/>
    <n v="3591.14"/>
    <n v="3822.99"/>
    <s v="Returning"/>
    <n v="0.09"/>
    <s v="Credit Card"/>
    <s v="Online"/>
    <x v="19"/>
    <n v="64640.52"/>
    <n v="-62081.599999999999"/>
    <n v="-24.260860050333733"/>
    <x v="3"/>
    <n v="2023"/>
  </r>
  <r>
    <n v="1017"/>
    <d v="2023-05-28T00:00:00"/>
    <s v="David"/>
    <x v="3"/>
    <n v="2222.62"/>
    <n v="35"/>
    <x v="3"/>
    <n v="4867.6400000000003"/>
    <n v="5287.05"/>
    <s v="Returning"/>
    <n v="0.28000000000000003"/>
    <s v="Credit Card"/>
    <s v="Online"/>
    <x v="16"/>
    <n v="170367.40000000002"/>
    <n v="-168144.78000000003"/>
    <n v="-75.65160936192423"/>
    <x v="10"/>
    <n v="2023"/>
  </r>
  <r>
    <n v="1063"/>
    <d v="2023-08-15T00:00:00"/>
    <s v="Alice"/>
    <x v="3"/>
    <n v="2780.98"/>
    <n v="26"/>
    <x v="1"/>
    <n v="1046.96"/>
    <n v="1528.15"/>
    <s v="New"/>
    <n v="7.0000000000000007E-2"/>
    <s v="Credit Card"/>
    <s v="Retail"/>
    <x v="18"/>
    <n v="27220.959999999999"/>
    <n v="-24439.98"/>
    <n v="-8.7882616919215533"/>
    <x v="3"/>
    <n v="2023"/>
  </r>
  <r>
    <n v="1019"/>
    <d v="2023-09-01T00:00:00"/>
    <s v="David"/>
    <x v="1"/>
    <n v="2550.84"/>
    <n v="16"/>
    <x v="2"/>
    <n v="97.24"/>
    <n v="487.03"/>
    <s v="New"/>
    <n v="0.22"/>
    <s v="Bank Transfer"/>
    <s v="Retail"/>
    <x v="13"/>
    <n v="1555.84"/>
    <n v="995.00000000000023"/>
    <n v="0.39006758557965227"/>
    <x v="2"/>
    <n v="2023"/>
  </r>
  <r>
    <n v="1092"/>
    <d v="2023-12-03T00:00:00"/>
    <s v="David"/>
    <x v="3"/>
    <n v="719.01"/>
    <n v="6"/>
    <x v="2"/>
    <n v="422.74"/>
    <n v="737.49"/>
    <s v="Returning"/>
    <n v="0.19"/>
    <s v="Credit Card"/>
    <s v="Retail"/>
    <x v="16"/>
    <n v="2536.44"/>
    <n v="-1817.43"/>
    <n v="-2.5276838986940375"/>
    <x v="9"/>
    <n v="2023"/>
  </r>
  <r>
    <n v="1058"/>
    <d v="2023-12-31T00:00:00"/>
    <s v="Alice"/>
    <x v="1"/>
    <n v="4643.51"/>
    <n v="44"/>
    <x v="2"/>
    <n v="1910.47"/>
    <n v="2217.8000000000002"/>
    <s v="New"/>
    <n v="0.22"/>
    <s v="Bank Transfer"/>
    <s v="Online"/>
    <x v="17"/>
    <n v="84060.680000000008"/>
    <n v="-79417.170000000013"/>
    <n v="-17.102831694127936"/>
    <x v="9"/>
    <n v="2023"/>
  </r>
  <r>
    <n v="1055"/>
    <d v="2023-07-20T00:00:00"/>
    <s v="Eve"/>
    <x v="1"/>
    <n v="7354.06"/>
    <n v="43"/>
    <x v="0"/>
    <n v="4111.7"/>
    <n v="4537.9399999999996"/>
    <s v="Returning"/>
    <n v="0.13"/>
    <s v="Bank Transfer"/>
    <s v="Online"/>
    <x v="8"/>
    <n v="176803.1"/>
    <n v="-169449.04"/>
    <n v="-23.041563435707623"/>
    <x v="11"/>
    <n v="2023"/>
  </r>
  <r>
    <n v="1090"/>
    <d v="2023-06-03T00:00:00"/>
    <s v="David"/>
    <x v="2"/>
    <n v="6106.64"/>
    <n v="47"/>
    <x v="0"/>
    <n v="85.35"/>
    <n v="360.539999999999"/>
    <s v="New"/>
    <n v="0.28000000000000003"/>
    <s v="Cash"/>
    <s v="Online"/>
    <x v="2"/>
    <n v="4011.45"/>
    <n v="2095.1900000000005"/>
    <n v="0.34310029738121134"/>
    <x v="6"/>
    <n v="2023"/>
  </r>
  <r>
    <n v="1090"/>
    <d v="2023-03-14T00:00:00"/>
    <s v="David"/>
    <x v="3"/>
    <n v="6761.43"/>
    <n v="47"/>
    <x v="0"/>
    <n v="2310.8200000000002"/>
    <n v="2714.71"/>
    <s v="New"/>
    <n v="0.19"/>
    <s v="Cash"/>
    <s v="Retail"/>
    <x v="16"/>
    <n v="108608.54000000001"/>
    <n v="-101847.11000000002"/>
    <n v="-15.06295413839972"/>
    <x v="4"/>
    <n v="2023"/>
  </r>
  <r>
    <n v="1062"/>
    <d v="2023-07-20T00:00:00"/>
    <s v="Eve"/>
    <x v="0"/>
    <n v="903.38"/>
    <n v="48"/>
    <x v="3"/>
    <n v="1679.69"/>
    <n v="1939.04"/>
    <s v="New"/>
    <n v="0.09"/>
    <s v="Credit Card"/>
    <s v="Online"/>
    <x v="7"/>
    <n v="80625.119999999995"/>
    <n v="-79721.739999999991"/>
    <n v="-88.248289756248738"/>
    <x v="11"/>
    <n v="2023"/>
  </r>
  <r>
    <n v="1023"/>
    <d v="2023-10-23T00:00:00"/>
    <s v="David"/>
    <x v="2"/>
    <n v="9519.76"/>
    <n v="42"/>
    <x v="1"/>
    <n v="309.77999999999997"/>
    <n v="350.38"/>
    <s v="Returning"/>
    <n v="0.19"/>
    <s v="Credit Card"/>
    <s v="Retail"/>
    <x v="2"/>
    <n v="13010.759999999998"/>
    <n v="-3490.9999999999982"/>
    <n v="-0.36671092548551626"/>
    <x v="7"/>
    <n v="2023"/>
  </r>
  <r>
    <n v="1009"/>
    <d v="2023-01-17T00:00:00"/>
    <s v="David"/>
    <x v="1"/>
    <n v="8401.07"/>
    <n v="12"/>
    <x v="0"/>
    <n v="2278.67"/>
    <n v="2476.8000000000002"/>
    <s v="New"/>
    <n v="0.09"/>
    <s v="Cash"/>
    <s v="Retail"/>
    <x v="13"/>
    <n v="27344.04"/>
    <n v="-18942.97"/>
    <n v="-2.254828254020024"/>
    <x v="5"/>
    <n v="2023"/>
  </r>
  <r>
    <n v="1012"/>
    <d v="2023-05-09T00:00:00"/>
    <s v="David"/>
    <x v="1"/>
    <n v="8070.39"/>
    <n v="13"/>
    <x v="1"/>
    <n v="1311.01"/>
    <n v="1538.79"/>
    <s v="Returning"/>
    <n v="0.09"/>
    <s v="Bank Transfer"/>
    <s v="Retail"/>
    <x v="13"/>
    <n v="17043.13"/>
    <n v="-8972.7400000000016"/>
    <n v="-1.1118099620960078"/>
    <x v="10"/>
    <n v="2023"/>
  </r>
  <r>
    <n v="1001"/>
    <d v="2023-08-05T00:00:00"/>
    <s v="Bob"/>
    <x v="0"/>
    <n v="8247.5400000000009"/>
    <n v="4"/>
    <x v="1"/>
    <n v="1791.83"/>
    <n v="1871.22"/>
    <s v="Returning"/>
    <n v="0.12"/>
    <s v="Bank Transfer"/>
    <s v="Online"/>
    <x v="0"/>
    <n v="7167.32"/>
    <n v="1080.2200000000012"/>
    <n v="0.1309748118833011"/>
    <x v="3"/>
    <n v="2023"/>
  </r>
  <r>
    <n v="1058"/>
    <d v="2023-03-02T00:00:00"/>
    <s v="Eve"/>
    <x v="1"/>
    <n v="9333.83"/>
    <n v="39"/>
    <x v="1"/>
    <n v="3542.8"/>
    <n v="3603.02"/>
    <s v="Returning"/>
    <n v="0.26"/>
    <s v="Cash"/>
    <s v="Online"/>
    <x v="8"/>
    <n v="138169.20000000001"/>
    <n v="-128835.37000000001"/>
    <n v="-13.80305512313809"/>
    <x v="4"/>
    <n v="2023"/>
  </r>
  <r>
    <n v="1001"/>
    <d v="2023-04-14T00:00:00"/>
    <s v="David"/>
    <x v="3"/>
    <n v="5488.11"/>
    <n v="2"/>
    <x v="3"/>
    <n v="2631.68"/>
    <n v="2904.06"/>
    <s v="New"/>
    <n v="0.15"/>
    <s v="Bank Transfer"/>
    <s v="Online"/>
    <x v="16"/>
    <n v="5263.36"/>
    <n v="224.75"/>
    <n v="4.0952167503931228E-2"/>
    <x v="1"/>
    <n v="2023"/>
  </r>
  <r>
    <n v="1034"/>
    <d v="2023-02-11T00:00:00"/>
    <s v="Eve"/>
    <x v="2"/>
    <n v="2082.79"/>
    <n v="26"/>
    <x v="3"/>
    <n v="667"/>
    <n v="718.72"/>
    <s v="New"/>
    <n v="0.2"/>
    <s v="Cash"/>
    <s v="Retail"/>
    <x v="6"/>
    <n v="17342"/>
    <n v="-15259.21"/>
    <n v="-7.326331507257092"/>
    <x v="0"/>
    <n v="2023"/>
  </r>
  <r>
    <n v="1096"/>
    <d v="2023-01-25T00:00:00"/>
    <s v="Charlie"/>
    <x v="1"/>
    <n v="6206.16"/>
    <n v="27"/>
    <x v="2"/>
    <n v="4809"/>
    <n v="4967.4399999999996"/>
    <s v="New"/>
    <n v="0.12"/>
    <s v="Cash"/>
    <s v="Online"/>
    <x v="5"/>
    <n v="129843"/>
    <n v="-123636.84"/>
    <n v="-19.921632700413781"/>
    <x v="5"/>
    <n v="2023"/>
  </r>
  <r>
    <n v="1048"/>
    <d v="2023-02-08T00:00:00"/>
    <s v="Charlie"/>
    <x v="1"/>
    <n v="7454.53"/>
    <n v="27"/>
    <x v="2"/>
    <n v="3197.76"/>
    <n v="3572.61"/>
    <s v="Returning"/>
    <n v="0.08"/>
    <s v="Credit Card"/>
    <s v="Online"/>
    <x v="5"/>
    <n v="86339.520000000004"/>
    <n v="-78884.990000000005"/>
    <n v="-10.582154743491543"/>
    <x v="0"/>
    <n v="2023"/>
  </r>
  <r>
    <n v="1089"/>
    <d v="2023-10-18T00:00:00"/>
    <s v="David"/>
    <x v="0"/>
    <n v="7405.38"/>
    <n v="15"/>
    <x v="1"/>
    <n v="3841.05"/>
    <n v="4323.62"/>
    <s v="Returning"/>
    <n v="0.28999999999999998"/>
    <s v="Credit Card"/>
    <s v="Retail"/>
    <x v="11"/>
    <n v="57615.75"/>
    <n v="-50210.37"/>
    <n v="-6.780255705986729"/>
    <x v="7"/>
    <n v="2023"/>
  </r>
  <r>
    <n v="1001"/>
    <d v="2023-05-11T00:00:00"/>
    <s v="Eve"/>
    <x v="3"/>
    <n v="5262.35"/>
    <n v="8"/>
    <x v="2"/>
    <n v="442.11"/>
    <n v="803.87"/>
    <s v="New"/>
    <n v="0.18"/>
    <s v="Cash"/>
    <s v="Retail"/>
    <x v="14"/>
    <n v="3536.88"/>
    <n v="1725.4700000000003"/>
    <n v="0.32788963105836749"/>
    <x v="10"/>
    <n v="2023"/>
  </r>
  <r>
    <n v="1016"/>
    <d v="2023-08-17T00:00:00"/>
    <s v="Eve"/>
    <x v="1"/>
    <n v="777.74"/>
    <n v="7"/>
    <x v="1"/>
    <n v="282.94"/>
    <n v="779.32999999999902"/>
    <s v="Returning"/>
    <n v="0.28000000000000003"/>
    <s v="Credit Card"/>
    <s v="Online"/>
    <x v="8"/>
    <n v="1980.58"/>
    <n v="-1202.8399999999999"/>
    <n v="-1.5465836912078585"/>
    <x v="3"/>
    <n v="2023"/>
  </r>
  <r>
    <n v="1061"/>
    <d v="2023-04-18T00:00:00"/>
    <s v="Eve"/>
    <x v="0"/>
    <n v="3774.02"/>
    <n v="47"/>
    <x v="3"/>
    <n v="146.27000000000001"/>
    <n v="498.46"/>
    <s v="New"/>
    <n v="0.06"/>
    <s v="Cash"/>
    <s v="Retail"/>
    <x v="7"/>
    <n v="6874.6900000000005"/>
    <n v="-3100.6700000000005"/>
    <n v="-0.82158282150068107"/>
    <x v="1"/>
    <n v="2023"/>
  </r>
  <r>
    <n v="1064"/>
    <d v="2023-06-21T00:00:00"/>
    <s v="Bob"/>
    <x v="1"/>
    <n v="9215.59"/>
    <n v="46"/>
    <x v="3"/>
    <n v="984.53"/>
    <n v="1138.49"/>
    <s v="New"/>
    <n v="0.04"/>
    <s v="Bank Transfer"/>
    <s v="Online"/>
    <x v="1"/>
    <n v="45288.38"/>
    <n v="-36072.789999999994"/>
    <n v="-3.9143223602612522"/>
    <x v="6"/>
    <n v="2023"/>
  </r>
  <r>
    <n v="1063"/>
    <d v="2023-04-12T00:00:00"/>
    <s v="Charlie"/>
    <x v="0"/>
    <n v="5886.04"/>
    <n v="40"/>
    <x v="3"/>
    <n v="2101.3200000000002"/>
    <n v="2440.63"/>
    <s v="New"/>
    <n v="0.26"/>
    <s v="Bank Transfer"/>
    <s v="Retail"/>
    <x v="19"/>
    <n v="84052.800000000003"/>
    <n v="-78166.760000000009"/>
    <n v="-13.280025280154401"/>
    <x v="1"/>
    <n v="2023"/>
  </r>
  <r>
    <n v="1069"/>
    <d v="2023-12-20T00:00:00"/>
    <s v="Eve"/>
    <x v="0"/>
    <n v="5429.49"/>
    <n v="12"/>
    <x v="0"/>
    <n v="4682.34"/>
    <n v="5036.3999999999996"/>
    <s v="New"/>
    <n v="0.2"/>
    <s v="Bank Transfer"/>
    <s v="Retail"/>
    <x v="7"/>
    <n v="56188.08"/>
    <n v="-50758.590000000004"/>
    <n v="-9.3486846830917827"/>
    <x v="9"/>
    <n v="2023"/>
  </r>
  <r>
    <n v="1022"/>
    <d v="2023-01-12T00:00:00"/>
    <s v="Eve"/>
    <x v="3"/>
    <n v="2761.65"/>
    <n v="13"/>
    <x v="1"/>
    <n v="2312.4499999999998"/>
    <n v="2504.6"/>
    <s v="Returning"/>
    <n v="0.06"/>
    <s v="Bank Transfer"/>
    <s v="Online"/>
    <x v="14"/>
    <n v="30061.85"/>
    <n v="-27300.199999999997"/>
    <n v="-9.8854670215269849"/>
    <x v="5"/>
    <n v="2023"/>
  </r>
  <r>
    <n v="1093"/>
    <d v="2023-10-02T00:00:00"/>
    <s v="Bob"/>
    <x v="1"/>
    <n v="3747.64"/>
    <n v="43"/>
    <x v="3"/>
    <n v="1486.76"/>
    <n v="1505.44"/>
    <s v="New"/>
    <n v="0.08"/>
    <s v="Cash"/>
    <s v="Retail"/>
    <x v="1"/>
    <n v="63930.68"/>
    <n v="-60183.040000000001"/>
    <n v="-16.058917078481393"/>
    <x v="7"/>
    <n v="2023"/>
  </r>
  <r>
    <n v="1067"/>
    <d v="2023-04-11T00:00:00"/>
    <s v="Bob"/>
    <x v="3"/>
    <n v="8963.93"/>
    <n v="17"/>
    <x v="1"/>
    <n v="2831.58"/>
    <n v="3186.15"/>
    <s v="New"/>
    <n v="0.24"/>
    <s v="Bank Transfer"/>
    <s v="Retail"/>
    <x v="12"/>
    <n v="48136.86"/>
    <n v="-39172.93"/>
    <n v="-4.3700620152098466"/>
    <x v="1"/>
    <n v="2023"/>
  </r>
  <r>
    <n v="1076"/>
    <d v="2023-02-13T00:00:00"/>
    <s v="Eve"/>
    <x v="0"/>
    <n v="6697.98"/>
    <n v="17"/>
    <x v="2"/>
    <n v="604.08000000000004"/>
    <n v="624.71"/>
    <s v="New"/>
    <n v="0.14000000000000001"/>
    <s v="Bank Transfer"/>
    <s v="Retail"/>
    <x v="7"/>
    <n v="10269.36"/>
    <n v="-3571.380000000001"/>
    <n v="-0.5332025476337644"/>
    <x v="0"/>
    <n v="2023"/>
  </r>
  <r>
    <n v="1026"/>
    <d v="2023-11-01T00:00:00"/>
    <s v="Alice"/>
    <x v="2"/>
    <n v="7895.13"/>
    <n v="36"/>
    <x v="2"/>
    <n v="3067.05"/>
    <n v="3386.33"/>
    <s v="New"/>
    <n v="0.2"/>
    <s v="Bank Transfer"/>
    <s v="Online"/>
    <x v="9"/>
    <n v="110413.8"/>
    <n v="-102518.67"/>
    <n v="-12.985051544433087"/>
    <x v="8"/>
    <n v="2023"/>
  </r>
  <r>
    <n v="1016"/>
    <d v="2023-01-17T00:00:00"/>
    <s v="Eve"/>
    <x v="1"/>
    <n v="4598.0200000000004"/>
    <n v="21"/>
    <x v="3"/>
    <n v="2863.74"/>
    <n v="2953.91"/>
    <s v="New"/>
    <n v="0.1"/>
    <s v="Bank Transfer"/>
    <s v="Retail"/>
    <x v="8"/>
    <n v="60138.539999999994"/>
    <n v="-55540.51999999999"/>
    <n v="-12.079225405718111"/>
    <x v="5"/>
    <n v="2023"/>
  </r>
  <r>
    <n v="1051"/>
    <d v="2023-11-26T00:00:00"/>
    <s v="Eve"/>
    <x v="2"/>
    <n v="6339.45"/>
    <n v="8"/>
    <x v="1"/>
    <n v="3970.37"/>
    <n v="4257.5199999999904"/>
    <s v="New"/>
    <n v="0.11"/>
    <s v="Cash"/>
    <s v="Retail"/>
    <x v="6"/>
    <n v="31762.959999999999"/>
    <n v="-25423.51"/>
    <n v="-4.0103652525061317"/>
    <x v="8"/>
    <n v="2023"/>
  </r>
  <r>
    <n v="1086"/>
    <d v="2023-02-26T00:00:00"/>
    <s v="Bob"/>
    <x v="1"/>
    <n v="2559"/>
    <n v="5"/>
    <x v="3"/>
    <n v="4934.1000000000004"/>
    <n v="5191.0200000000004"/>
    <s v="New"/>
    <n v="0.3"/>
    <s v="Bank Transfer"/>
    <s v="Online"/>
    <x v="1"/>
    <n v="24670.5"/>
    <n v="-22111.5"/>
    <n v="-8.640679953106682"/>
    <x v="0"/>
    <n v="2023"/>
  </r>
  <r>
    <n v="1057"/>
    <d v="2023-11-07T00:00:00"/>
    <s v="Bob"/>
    <x v="3"/>
    <n v="7084.06"/>
    <n v="26"/>
    <x v="2"/>
    <n v="1291.82"/>
    <n v="1308.4399999999901"/>
    <s v="Returning"/>
    <n v="7.0000000000000007E-2"/>
    <s v="Credit Card"/>
    <s v="Online"/>
    <x v="12"/>
    <n v="33587.32"/>
    <n v="-26503.26"/>
    <n v="-3.7412528973498245"/>
    <x v="8"/>
    <n v="2023"/>
  </r>
  <r>
    <n v="1029"/>
    <d v="2023-10-30T00:00:00"/>
    <s v="Eve"/>
    <x v="3"/>
    <n v="4333.25"/>
    <n v="16"/>
    <x v="3"/>
    <n v="2572.8000000000002"/>
    <n v="2760.6"/>
    <s v="Returning"/>
    <n v="0.15"/>
    <s v="Credit Card"/>
    <s v="Retail"/>
    <x v="14"/>
    <n v="41164.800000000003"/>
    <n v="-36831.550000000003"/>
    <n v="-8.4997519183061225"/>
    <x v="7"/>
    <n v="2023"/>
  </r>
  <r>
    <n v="1078"/>
    <d v="2023-01-12T00:00:00"/>
    <s v="Eve"/>
    <x v="3"/>
    <n v="4481.2"/>
    <n v="36"/>
    <x v="1"/>
    <n v="4548.88"/>
    <n v="4853.41"/>
    <s v="Returning"/>
    <n v="0.25"/>
    <s v="Credit Card"/>
    <s v="Retail"/>
    <x v="14"/>
    <n v="163759.67999999999"/>
    <n v="-159278.47999999998"/>
    <n v="-35.543711505846645"/>
    <x v="5"/>
    <n v="2023"/>
  </r>
  <r>
    <n v="1092"/>
    <d v="2023-11-14T00:00:00"/>
    <s v="Eve"/>
    <x v="3"/>
    <n v="6528.29"/>
    <n v="28"/>
    <x v="2"/>
    <n v="3936.69"/>
    <n v="4362.51"/>
    <s v="Returning"/>
    <n v="7.0000000000000007E-2"/>
    <s v="Credit Card"/>
    <s v="Retail"/>
    <x v="14"/>
    <n v="110227.32"/>
    <n v="-103699.03000000001"/>
    <n v="-15.884562419867992"/>
    <x v="8"/>
    <n v="2023"/>
  </r>
  <r>
    <n v="1069"/>
    <d v="2023-03-21T00:00:00"/>
    <s v="Bob"/>
    <x v="3"/>
    <n v="9369.18"/>
    <n v="29"/>
    <x v="0"/>
    <n v="2462.66"/>
    <n v="2908.0899999999901"/>
    <s v="New"/>
    <n v="0.12"/>
    <s v="Credit Card"/>
    <s v="Online"/>
    <x v="12"/>
    <n v="71417.14"/>
    <n v="-62047.96"/>
    <n v="-6.622560352133271"/>
    <x v="4"/>
    <n v="2023"/>
  </r>
  <r>
    <n v="1047"/>
    <d v="2023-08-04T00:00:00"/>
    <s v="Eve"/>
    <x v="2"/>
    <n v="733.66"/>
    <n v="47"/>
    <x v="2"/>
    <n v="4729.59"/>
    <n v="4976.68"/>
    <s v="Returning"/>
    <n v="0.18"/>
    <s v="Credit Card"/>
    <s v="Retail"/>
    <x v="6"/>
    <n v="222290.73"/>
    <n v="-221557.07"/>
    <n v="-301.98875500913232"/>
    <x v="3"/>
    <n v="2023"/>
  </r>
  <r>
    <n v="1094"/>
    <d v="2023-12-05T00:00:00"/>
    <s v="Eve"/>
    <x v="3"/>
    <n v="8264.9599999999991"/>
    <n v="12"/>
    <x v="0"/>
    <n v="333.32"/>
    <n v="700.25"/>
    <s v="Returning"/>
    <n v="0.14000000000000001"/>
    <s v="Cash"/>
    <s v="Online"/>
    <x v="14"/>
    <n v="3999.84"/>
    <n v="4265.119999999999"/>
    <n v="0.51604847452377256"/>
    <x v="9"/>
    <n v="2023"/>
  </r>
  <r>
    <n v="1062"/>
    <d v="2023-09-21T00:00:00"/>
    <s v="David"/>
    <x v="0"/>
    <n v="2994.59"/>
    <n v="37"/>
    <x v="3"/>
    <n v="4658.4399999999996"/>
    <n v="4823.5"/>
    <s v="Returning"/>
    <n v="0.14000000000000001"/>
    <s v="Credit Card"/>
    <s v="Online"/>
    <x v="11"/>
    <n v="172362.28"/>
    <n v="-169367.69"/>
    <n v="-56.557889393873616"/>
    <x v="2"/>
    <n v="2023"/>
  </r>
  <r>
    <n v="1069"/>
    <d v="2023-05-29T00:00:00"/>
    <s v="Alice"/>
    <x v="0"/>
    <n v="4494.8"/>
    <n v="30"/>
    <x v="3"/>
    <n v="300.01"/>
    <n v="477.67999999999898"/>
    <s v="New"/>
    <n v="0.11"/>
    <s v="Bank Transfer"/>
    <s v="Retail"/>
    <x v="15"/>
    <n v="9000.2999999999993"/>
    <n v="-4505.4999999999991"/>
    <n v="-1.0023805286108389"/>
    <x v="10"/>
    <n v="2023"/>
  </r>
  <r>
    <n v="1076"/>
    <d v="2023-03-22T00:00:00"/>
    <s v="Charlie"/>
    <x v="2"/>
    <n v="316.94"/>
    <n v="23"/>
    <x v="1"/>
    <n v="2759.16"/>
    <n v="2864.45"/>
    <s v="Returning"/>
    <n v="0.18"/>
    <s v="Credit Card"/>
    <s v="Retail"/>
    <x v="10"/>
    <n v="63460.679999999993"/>
    <n v="-63143.739999999991"/>
    <n v="-199.22931785195934"/>
    <x v="4"/>
    <n v="2023"/>
  </r>
  <r>
    <n v="1016"/>
    <d v="2023-08-03T00:00:00"/>
    <s v="Alice"/>
    <x v="1"/>
    <n v="3080.36"/>
    <n v="16"/>
    <x v="0"/>
    <n v="4457.68"/>
    <n v="4743.03"/>
    <s v="Returning"/>
    <n v="0.19"/>
    <s v="Cash"/>
    <s v="Online"/>
    <x v="17"/>
    <n v="71322.880000000005"/>
    <n v="-68242.52"/>
    <n v="-22.154072900570064"/>
    <x v="3"/>
    <n v="2023"/>
  </r>
  <r>
    <n v="1090"/>
    <d v="2023-07-17T00:00:00"/>
    <s v="David"/>
    <x v="0"/>
    <n v="5076.05"/>
    <n v="14"/>
    <x v="3"/>
    <n v="1350.47"/>
    <n v="1514.61"/>
    <s v="New"/>
    <n v="0.2"/>
    <s v="Credit Card"/>
    <s v="Retail"/>
    <x v="11"/>
    <n v="18906.580000000002"/>
    <n v="-13830.530000000002"/>
    <n v="-2.7246638626491073"/>
    <x v="11"/>
    <n v="2023"/>
  </r>
  <r>
    <n v="1090"/>
    <d v="2023-07-19T00:00:00"/>
    <s v="Charlie"/>
    <x v="1"/>
    <n v="656.14"/>
    <n v="10"/>
    <x v="0"/>
    <n v="2387.63"/>
    <n v="2438.9699999999998"/>
    <s v="Returning"/>
    <n v="0.02"/>
    <s v="Bank Transfer"/>
    <s v="Retail"/>
    <x v="5"/>
    <n v="23876.300000000003"/>
    <n v="-23220.160000000003"/>
    <n v="-35.389032828359809"/>
    <x v="11"/>
    <n v="2023"/>
  </r>
  <r>
    <n v="1048"/>
    <d v="2023-01-25T00:00:00"/>
    <s v="Eve"/>
    <x v="2"/>
    <n v="4961.8500000000004"/>
    <n v="7"/>
    <x v="3"/>
    <n v="1655.43"/>
    <n v="2001.08"/>
    <s v="New"/>
    <n v="0.19"/>
    <s v="Bank Transfer"/>
    <s v="Online"/>
    <x v="6"/>
    <n v="11588.01"/>
    <n v="-6626.16"/>
    <n v="-1.3354212642461984"/>
    <x v="5"/>
    <n v="2023"/>
  </r>
  <r>
    <n v="1085"/>
    <d v="2023-03-30T00:00:00"/>
    <s v="David"/>
    <x v="1"/>
    <n v="9278.4"/>
    <n v="45"/>
    <x v="2"/>
    <n v="4763.1099999999997"/>
    <n v="5119.91"/>
    <s v="Returning"/>
    <n v="0.28999999999999998"/>
    <s v="Cash"/>
    <s v="Retail"/>
    <x v="13"/>
    <n v="214339.94999999998"/>
    <n v="-205061.55"/>
    <n v="-22.100960294878426"/>
    <x v="4"/>
    <n v="2023"/>
  </r>
  <r>
    <n v="1039"/>
    <d v="2023-09-25T00:00:00"/>
    <s v="Eve"/>
    <x v="1"/>
    <n v="1143.3900000000001"/>
    <n v="37"/>
    <x v="3"/>
    <n v="4127.05"/>
    <n v="4313.45"/>
    <s v="New"/>
    <n v="0.16"/>
    <s v="Cash"/>
    <s v="Online"/>
    <x v="8"/>
    <n v="152700.85"/>
    <n v="-151557.46"/>
    <n v="-132.55097560762292"/>
    <x v="2"/>
    <n v="2023"/>
  </r>
  <r>
    <n v="1100"/>
    <d v="2023-05-23T00:00:00"/>
    <s v="Bob"/>
    <x v="1"/>
    <n v="7667.96"/>
    <n v="29"/>
    <x v="1"/>
    <n v="3559.56"/>
    <n v="3607.15"/>
    <s v="Returning"/>
    <n v="0.21"/>
    <s v="Cash"/>
    <s v="Retail"/>
    <x v="1"/>
    <n v="103227.24"/>
    <n v="-95559.28"/>
    <n v="-12.462151602251446"/>
    <x v="10"/>
    <n v="2023"/>
  </r>
  <r>
    <n v="1033"/>
    <d v="2023-02-28T00:00:00"/>
    <s v="David"/>
    <x v="1"/>
    <n v="4155.74"/>
    <n v="3"/>
    <x v="2"/>
    <n v="2958.75"/>
    <n v="3177.64"/>
    <s v="Returning"/>
    <n v="0.17"/>
    <s v="Cash"/>
    <s v="Online"/>
    <x v="13"/>
    <n v="8876.25"/>
    <n v="-4720.51"/>
    <n v="-1.1359011872735061"/>
    <x v="0"/>
    <n v="2023"/>
  </r>
  <r>
    <n v="1094"/>
    <d v="2023-12-31T00:00:00"/>
    <s v="Bob"/>
    <x v="2"/>
    <n v="6586.22"/>
    <n v="15"/>
    <x v="1"/>
    <n v="4111.93"/>
    <n v="4338.67"/>
    <s v="Returning"/>
    <n v="0.26"/>
    <s v="Credit Card"/>
    <s v="Online"/>
    <x v="3"/>
    <n v="61678.950000000004"/>
    <n v="-55092.73"/>
    <n v="-8.3648481222916935"/>
    <x v="9"/>
    <n v="2023"/>
  </r>
  <r>
    <n v="1023"/>
    <d v="2023-01-26T00:00:00"/>
    <s v="David"/>
    <x v="0"/>
    <n v="2676.34"/>
    <n v="36"/>
    <x v="2"/>
    <n v="1991.72"/>
    <n v="2329.37"/>
    <s v="New"/>
    <n v="0.28000000000000003"/>
    <s v="Credit Card"/>
    <s v="Retail"/>
    <x v="11"/>
    <n v="71701.919999999998"/>
    <n v="-69025.58"/>
    <n v="-25.791035518656074"/>
    <x v="5"/>
    <n v="2023"/>
  </r>
  <r>
    <n v="1010"/>
    <d v="2023-02-16T00:00:00"/>
    <s v="David"/>
    <x v="3"/>
    <n v="1678.97"/>
    <n v="47"/>
    <x v="0"/>
    <n v="2265.38"/>
    <n v="2429.9299999999998"/>
    <s v="Returning"/>
    <n v="0.06"/>
    <s v="Bank Transfer"/>
    <s v="Online"/>
    <x v="16"/>
    <n v="106472.86"/>
    <n v="-104793.89"/>
    <n v="-62.415582172403319"/>
    <x v="0"/>
    <n v="2023"/>
  </r>
  <r>
    <n v="1069"/>
    <d v="2023-10-15T00:00:00"/>
    <s v="Bob"/>
    <x v="1"/>
    <n v="1688.58"/>
    <n v="46"/>
    <x v="1"/>
    <n v="3663.51"/>
    <n v="4007.98"/>
    <s v="New"/>
    <n v="0.13"/>
    <s v="Cash"/>
    <s v="Online"/>
    <x v="1"/>
    <n v="168521.46000000002"/>
    <n v="-166832.88000000003"/>
    <n v="-98.800696443165293"/>
    <x v="7"/>
    <n v="2023"/>
  </r>
  <r>
    <n v="1100"/>
    <d v="2023-09-23T00:00:00"/>
    <s v="Charlie"/>
    <x v="0"/>
    <n v="797.87"/>
    <n v="19"/>
    <x v="3"/>
    <n v="1820.89"/>
    <n v="2257.92"/>
    <s v="New"/>
    <n v="0.12"/>
    <s v="Cash"/>
    <s v="Retail"/>
    <x v="19"/>
    <n v="34596.910000000003"/>
    <n v="-33799.040000000001"/>
    <n v="-42.361587727324"/>
    <x v="2"/>
    <n v="2023"/>
  </r>
  <r>
    <n v="1034"/>
    <d v="2023-01-16T00:00:00"/>
    <s v="Alice"/>
    <x v="0"/>
    <n v="1937.9"/>
    <n v="13"/>
    <x v="0"/>
    <n v="366.31"/>
    <n v="492.68"/>
    <s v="New"/>
    <n v="0.12"/>
    <s v="Credit Card"/>
    <s v="Retail"/>
    <x v="15"/>
    <n v="4762.03"/>
    <n v="-2824.1299999999997"/>
    <n v="-1.4573146189173845"/>
    <x v="5"/>
    <n v="2023"/>
  </r>
  <r>
    <n v="1052"/>
    <d v="2023-07-18T00:00:00"/>
    <s v="Eve"/>
    <x v="2"/>
    <n v="6675.77"/>
    <n v="42"/>
    <x v="3"/>
    <n v="417.96"/>
    <n v="907.63"/>
    <s v="New"/>
    <n v="0.04"/>
    <s v="Cash"/>
    <s v="Retail"/>
    <x v="6"/>
    <n v="17554.32"/>
    <n v="-10878.55"/>
    <n v="-1.6295573394529768"/>
    <x v="11"/>
    <n v="2023"/>
  </r>
  <r>
    <n v="1095"/>
    <d v="2023-10-09T00:00:00"/>
    <s v="David"/>
    <x v="0"/>
    <n v="8828.74"/>
    <n v="21"/>
    <x v="2"/>
    <n v="621.04999999999995"/>
    <n v="820.36999999999898"/>
    <s v="Returning"/>
    <n v="0.24"/>
    <s v="Bank Transfer"/>
    <s v="Online"/>
    <x v="11"/>
    <n v="13042.05"/>
    <n v="-4213.3099999999995"/>
    <n v="-0.47722664842321777"/>
    <x v="7"/>
    <n v="2023"/>
  </r>
  <r>
    <n v="1010"/>
    <d v="2023-03-27T00:00:00"/>
    <s v="Eve"/>
    <x v="2"/>
    <n v="8159.84"/>
    <n v="37"/>
    <x v="2"/>
    <n v="4354.92"/>
    <n v="4495.88"/>
    <s v="Returning"/>
    <n v="0.01"/>
    <s v="Bank Transfer"/>
    <s v="Online"/>
    <x v="6"/>
    <n v="161132.04"/>
    <n v="-152972.20000000001"/>
    <n v="-18.746960724720093"/>
    <x v="4"/>
    <n v="2023"/>
  </r>
  <r>
    <n v="1019"/>
    <d v="2023-09-07T00:00:00"/>
    <s v="Bob"/>
    <x v="1"/>
    <n v="6882.83"/>
    <n v="27"/>
    <x v="3"/>
    <n v="2387.52"/>
    <n v="2604.06"/>
    <s v="Returning"/>
    <n v="0.16"/>
    <s v="Cash"/>
    <s v="Online"/>
    <x v="1"/>
    <n v="64463.040000000001"/>
    <n v="-57580.21"/>
    <n v="-8.3657754150545625"/>
    <x v="2"/>
    <n v="2023"/>
  </r>
  <r>
    <n v="1058"/>
    <d v="2023-09-27T00:00:00"/>
    <s v="Eve"/>
    <x v="1"/>
    <n v="1193.28"/>
    <n v="29"/>
    <x v="3"/>
    <n v="3578.77"/>
    <n v="3635.02"/>
    <s v="New"/>
    <n v="0.2"/>
    <s v="Bank Transfer"/>
    <s v="Retail"/>
    <x v="8"/>
    <n v="103784.33"/>
    <n v="-102591.05"/>
    <n v="-85.973996044515957"/>
    <x v="2"/>
    <n v="2023"/>
  </r>
  <r>
    <n v="1096"/>
    <d v="2023-12-01T00:00:00"/>
    <s v="Bob"/>
    <x v="3"/>
    <n v="2962.96"/>
    <n v="20"/>
    <x v="0"/>
    <n v="1994.9"/>
    <n v="2066.5"/>
    <s v="Returning"/>
    <n v="0.06"/>
    <s v="Bank Transfer"/>
    <s v="Online"/>
    <x v="12"/>
    <n v="39898"/>
    <n v="-36935.040000000001"/>
    <n v="-12.465588465588466"/>
    <x v="9"/>
    <n v="2023"/>
  </r>
  <r>
    <n v="1001"/>
    <d v="2023-04-27T00:00:00"/>
    <s v="Eve"/>
    <x v="3"/>
    <n v="3167.09"/>
    <n v="25"/>
    <x v="3"/>
    <n v="1330.62"/>
    <n v="1543.6899999999901"/>
    <s v="New"/>
    <n v="0.27"/>
    <s v="Credit Card"/>
    <s v="Online"/>
    <x v="14"/>
    <n v="33265.5"/>
    <n v="-30098.41"/>
    <n v="-9.5034905859953458"/>
    <x v="1"/>
    <n v="2023"/>
  </r>
  <r>
    <n v="1069"/>
    <d v="2023-01-07T00:00:00"/>
    <s v="Alice"/>
    <x v="3"/>
    <n v="2574.5700000000002"/>
    <n v="6"/>
    <x v="1"/>
    <n v="1768.6"/>
    <n v="2152.1999999999998"/>
    <s v="New"/>
    <n v="0.25"/>
    <s v="Bank Transfer"/>
    <s v="Retail"/>
    <x v="18"/>
    <n v="10611.599999999999"/>
    <n v="-8037.0299999999988"/>
    <n v="-3.1216979922860899"/>
    <x v="5"/>
    <n v="2023"/>
  </r>
  <r>
    <n v="1004"/>
    <d v="2023-05-17T00:00:00"/>
    <s v="Alice"/>
    <x v="0"/>
    <n v="5198.5600000000004"/>
    <n v="36"/>
    <x v="1"/>
    <n v="3981.2"/>
    <n v="4432.3499999999904"/>
    <s v="New"/>
    <n v="0.14000000000000001"/>
    <s v="Cash"/>
    <s v="Online"/>
    <x v="15"/>
    <n v="143323.19999999998"/>
    <n v="-138124.63999999998"/>
    <n v="-26.569788556831117"/>
    <x v="10"/>
    <n v="2023"/>
  </r>
  <r>
    <n v="1016"/>
    <d v="2023-06-25T00:00:00"/>
    <s v="Alice"/>
    <x v="1"/>
    <n v="5401.98"/>
    <n v="2"/>
    <x v="3"/>
    <n v="3144.82"/>
    <n v="3480.58"/>
    <s v="Returning"/>
    <n v="0.12"/>
    <s v="Cash"/>
    <s v="Retail"/>
    <x v="17"/>
    <n v="6289.64"/>
    <n v="-887.66000000000076"/>
    <n v="-0.16432123036368163"/>
    <x v="6"/>
    <n v="2023"/>
  </r>
  <r>
    <n v="1024"/>
    <d v="2023-11-24T00:00:00"/>
    <s v="Alice"/>
    <x v="2"/>
    <n v="3633.17"/>
    <n v="22"/>
    <x v="1"/>
    <n v="4691.32"/>
    <n v="4752.88"/>
    <s v="Returning"/>
    <n v="7.0000000000000007E-2"/>
    <s v="Bank Transfer"/>
    <s v="Retail"/>
    <x v="9"/>
    <n v="103209.04"/>
    <n v="-99575.87"/>
    <n v="-27.407434829639129"/>
    <x v="8"/>
    <n v="2023"/>
  </r>
  <r>
    <n v="1080"/>
    <d v="2023-11-11T00:00:00"/>
    <s v="Alice"/>
    <x v="3"/>
    <n v="3602.51"/>
    <n v="32"/>
    <x v="3"/>
    <n v="3414.54"/>
    <n v="3753.83"/>
    <s v="New"/>
    <n v="0.22"/>
    <s v="Cash"/>
    <s v="Retail"/>
    <x v="18"/>
    <n v="109265.28"/>
    <n v="-105662.77"/>
    <n v="-29.330319693769066"/>
    <x v="8"/>
    <n v="2023"/>
  </r>
  <r>
    <n v="1002"/>
    <d v="2023-08-03T00:00:00"/>
    <s v="Alice"/>
    <x v="2"/>
    <n v="8302.7000000000007"/>
    <n v="16"/>
    <x v="0"/>
    <n v="2872.4"/>
    <n v="3193.76"/>
    <s v="Returning"/>
    <n v="0.04"/>
    <s v="Credit Card"/>
    <s v="Online"/>
    <x v="9"/>
    <n v="45958.400000000001"/>
    <n v="-37655.699999999997"/>
    <n v="-4.5353559685403537"/>
    <x v="3"/>
    <n v="2023"/>
  </r>
  <r>
    <n v="1092"/>
    <d v="2023-03-23T00:00:00"/>
    <s v="Bob"/>
    <x v="2"/>
    <n v="7914"/>
    <n v="18"/>
    <x v="1"/>
    <n v="3070.47"/>
    <n v="3475.29"/>
    <s v="Returning"/>
    <n v="0.2"/>
    <s v="Bank Transfer"/>
    <s v="Online"/>
    <x v="3"/>
    <n v="55268.46"/>
    <n v="-47354.46"/>
    <n v="-5.9836315390447306"/>
    <x v="4"/>
    <n v="2023"/>
  </r>
  <r>
    <n v="1032"/>
    <d v="2023-08-11T00:00:00"/>
    <s v="David"/>
    <x v="3"/>
    <n v="3147.18"/>
    <n v="5"/>
    <x v="1"/>
    <n v="4714.74"/>
    <n v="5129.1099999999997"/>
    <s v="New"/>
    <n v="0.25"/>
    <s v="Bank Transfer"/>
    <s v="Online"/>
    <x v="16"/>
    <n v="23573.699999999997"/>
    <n v="-20426.519999999997"/>
    <n v="-6.4904199950431805"/>
    <x v="3"/>
    <n v="2023"/>
  </r>
  <r>
    <n v="1091"/>
    <d v="2023-04-13T00:00:00"/>
    <s v="Eve"/>
    <x v="1"/>
    <n v="9146.51"/>
    <n v="36"/>
    <x v="3"/>
    <n v="3951.59"/>
    <n v="4387.01"/>
    <s v="New"/>
    <n v="7.0000000000000007E-2"/>
    <s v="Bank Transfer"/>
    <s v="Retail"/>
    <x v="8"/>
    <n v="142257.24"/>
    <n v="-133110.72999999998"/>
    <n v="-14.553171646890451"/>
    <x v="1"/>
    <n v="2023"/>
  </r>
  <r>
    <n v="1084"/>
    <d v="2023-09-30T00:00:00"/>
    <s v="Alice"/>
    <x v="3"/>
    <n v="9532.8700000000008"/>
    <n v="30"/>
    <x v="1"/>
    <n v="169"/>
    <n v="381.91999999999899"/>
    <s v="Returning"/>
    <n v="0.26"/>
    <s v="Cash"/>
    <s v="Retail"/>
    <x v="18"/>
    <n v="5070"/>
    <n v="4462.8700000000008"/>
    <n v="0.46815596981811358"/>
    <x v="2"/>
    <n v="2023"/>
  </r>
  <r>
    <n v="1024"/>
    <d v="2023-01-14T00:00:00"/>
    <s v="Bob"/>
    <x v="2"/>
    <n v="3334.75"/>
    <n v="45"/>
    <x v="2"/>
    <n v="2693.99"/>
    <n v="3045.9399999999901"/>
    <s v="New"/>
    <n v="0.01"/>
    <s v="Cash"/>
    <s v="Retail"/>
    <x v="3"/>
    <n v="121229.54999999999"/>
    <n v="-117894.79999999999"/>
    <n v="-35.353414798710546"/>
    <x v="5"/>
    <n v="2023"/>
  </r>
  <r>
    <n v="1012"/>
    <d v="2023-06-08T00:00:00"/>
    <s v="Bob"/>
    <x v="3"/>
    <n v="3608.81"/>
    <n v="19"/>
    <x v="0"/>
    <n v="3457.28"/>
    <n v="3598.72"/>
    <s v="New"/>
    <n v="0.27"/>
    <s v="Bank Transfer"/>
    <s v="Online"/>
    <x v="12"/>
    <n v="65688.320000000007"/>
    <n v="-62079.510000000009"/>
    <n v="-17.202210701034417"/>
    <x v="6"/>
    <n v="2023"/>
  </r>
  <r>
    <n v="1050"/>
    <d v="2023-06-01T00:00:00"/>
    <s v="Bob"/>
    <x v="2"/>
    <n v="5105.78"/>
    <n v="23"/>
    <x v="0"/>
    <n v="3756.06"/>
    <n v="4255.7299999999996"/>
    <s v="Returning"/>
    <n v="0.04"/>
    <s v="Cash"/>
    <s v="Online"/>
    <x v="3"/>
    <n v="86389.38"/>
    <n v="-81283.600000000006"/>
    <n v="-15.919918210342006"/>
    <x v="6"/>
    <n v="2023"/>
  </r>
  <r>
    <n v="1035"/>
    <d v="2023-04-18T00:00:00"/>
    <s v="David"/>
    <x v="2"/>
    <n v="9417.1"/>
    <n v="34"/>
    <x v="1"/>
    <n v="1105.05"/>
    <n v="1200.96"/>
    <s v="Returning"/>
    <n v="0.19"/>
    <s v="Cash"/>
    <s v="Online"/>
    <x v="2"/>
    <n v="37571.699999999997"/>
    <n v="-28154.6"/>
    <n v="-2.989731445986556"/>
    <x v="1"/>
    <n v="2023"/>
  </r>
  <r>
    <n v="1033"/>
    <d v="2023-07-07T00:00:00"/>
    <s v="Eve"/>
    <x v="3"/>
    <n v="8775.56"/>
    <n v="13"/>
    <x v="1"/>
    <n v="4342.53"/>
    <n v="4357.49"/>
    <s v="New"/>
    <n v="0.08"/>
    <s v="Bank Transfer"/>
    <s v="Online"/>
    <x v="14"/>
    <n v="56452.89"/>
    <n v="-47677.33"/>
    <n v="-5.4329672408370522"/>
    <x v="11"/>
    <n v="2023"/>
  </r>
  <r>
    <n v="1033"/>
    <d v="2023-10-28T00:00:00"/>
    <s v="David"/>
    <x v="0"/>
    <n v="1115.42"/>
    <n v="43"/>
    <x v="2"/>
    <n v="4781.42"/>
    <n v="4864.34"/>
    <s v="Returning"/>
    <n v="0.25"/>
    <s v="Bank Transfer"/>
    <s v="Online"/>
    <x v="11"/>
    <n v="205601.06"/>
    <n v="-204485.63999999998"/>
    <n v="-183.32613723978409"/>
    <x v="7"/>
    <n v="2023"/>
  </r>
  <r>
    <n v="1061"/>
    <d v="2023-04-08T00:00:00"/>
    <s v="Charlie"/>
    <x v="3"/>
    <n v="3988.03"/>
    <n v="29"/>
    <x v="2"/>
    <n v="1221.74"/>
    <n v="1611.92"/>
    <s v="New"/>
    <n v="0.15"/>
    <s v="Cash"/>
    <s v="Retail"/>
    <x v="4"/>
    <n v="35430.46"/>
    <n v="-31442.43"/>
    <n v="-7.8842009714069352"/>
    <x v="1"/>
    <n v="2023"/>
  </r>
  <r>
    <n v="1051"/>
    <d v="2023-05-11T00:00:00"/>
    <s v="Bob"/>
    <x v="0"/>
    <n v="5578.37"/>
    <n v="36"/>
    <x v="1"/>
    <n v="4418.95"/>
    <n v="4647.87"/>
    <s v="New"/>
    <n v="0.04"/>
    <s v="Bank Transfer"/>
    <s v="Online"/>
    <x v="0"/>
    <n v="159082.19999999998"/>
    <n v="-153503.82999999999"/>
    <n v="-27.517685273655207"/>
    <x v="10"/>
    <n v="2023"/>
  </r>
  <r>
    <n v="1043"/>
    <d v="2023-10-20T00:00:00"/>
    <s v="Charlie"/>
    <x v="2"/>
    <n v="5081.01"/>
    <n v="22"/>
    <x v="1"/>
    <n v="530.04"/>
    <n v="759.31999999999903"/>
    <s v="Returning"/>
    <n v="0.17"/>
    <s v="Bank Transfer"/>
    <s v="Retail"/>
    <x v="10"/>
    <n v="11660.88"/>
    <n v="-6579.869999999999"/>
    <n v="-1.2949925310125348"/>
    <x v="7"/>
    <n v="2023"/>
  </r>
  <r>
    <n v="1012"/>
    <d v="2023-06-20T00:00:00"/>
    <s v="Alice"/>
    <x v="2"/>
    <n v="2019.24"/>
    <n v="47"/>
    <x v="2"/>
    <n v="325.75"/>
    <n v="803.71"/>
    <s v="New"/>
    <n v="0.12"/>
    <s v="Bank Transfer"/>
    <s v="Retail"/>
    <x v="9"/>
    <n v="15310.25"/>
    <n v="-13291.01"/>
    <n v="-6.5821843862047107"/>
    <x v="6"/>
    <n v="2023"/>
  </r>
  <r>
    <n v="1067"/>
    <d v="2023-07-02T00:00:00"/>
    <s v="Alice"/>
    <x v="0"/>
    <n v="8602.2900000000009"/>
    <n v="36"/>
    <x v="3"/>
    <n v="689.66"/>
    <n v="1150.28"/>
    <s v="New"/>
    <n v="0.2"/>
    <s v="Bank Transfer"/>
    <s v="Online"/>
    <x v="15"/>
    <n v="24827.759999999998"/>
    <n v="-16225.469999999998"/>
    <n v="-1.8861803078017594"/>
    <x v="11"/>
    <n v="2023"/>
  </r>
  <r>
    <n v="1065"/>
    <d v="2023-12-30T00:00:00"/>
    <s v="David"/>
    <x v="2"/>
    <n v="6801.71"/>
    <n v="9"/>
    <x v="2"/>
    <n v="335.82"/>
    <n v="498.31"/>
    <s v="New"/>
    <n v="0.26"/>
    <s v="Cash"/>
    <s v="Retail"/>
    <x v="2"/>
    <n v="3022.38"/>
    <n v="3779.33"/>
    <n v="0.55564409538189663"/>
    <x v="9"/>
    <n v="2023"/>
  </r>
  <r>
    <n v="1033"/>
    <d v="2023-02-08T00:00:00"/>
    <s v="Eve"/>
    <x v="0"/>
    <n v="8395.2900000000009"/>
    <n v="39"/>
    <x v="3"/>
    <n v="4232.8100000000004"/>
    <n v="4345.25"/>
    <s v="Returning"/>
    <n v="0.12"/>
    <s v="Bank Transfer"/>
    <s v="Online"/>
    <x v="7"/>
    <n v="165079.59000000003"/>
    <n v="-156684.30000000002"/>
    <n v="-18.663357668406928"/>
    <x v="0"/>
    <n v="2023"/>
  </r>
  <r>
    <n v="1040"/>
    <d v="2023-01-15T00:00:00"/>
    <s v="Charlie"/>
    <x v="0"/>
    <n v="8601.77"/>
    <n v="19"/>
    <x v="0"/>
    <n v="342.3"/>
    <n v="768.06"/>
    <s v="Returning"/>
    <n v="0.09"/>
    <s v="Credit Card"/>
    <s v="Online"/>
    <x v="19"/>
    <n v="6503.7"/>
    <n v="2098.0700000000006"/>
    <n v="0.2439114275317755"/>
    <x v="5"/>
    <n v="2023"/>
  </r>
  <r>
    <n v="1074"/>
    <d v="2023-01-04T00:00:00"/>
    <s v="Eve"/>
    <x v="2"/>
    <n v="7508.72"/>
    <n v="38"/>
    <x v="0"/>
    <n v="1394.74"/>
    <n v="1848.69"/>
    <s v="Returning"/>
    <n v="0"/>
    <s v="Bank Transfer"/>
    <s v="Retail"/>
    <x v="6"/>
    <n v="53000.12"/>
    <n v="-45491.4"/>
    <n v="-6.0584760118901757"/>
    <x v="5"/>
    <n v="2023"/>
  </r>
  <r>
    <n v="1043"/>
    <d v="2023-12-15T00:00:00"/>
    <s v="David"/>
    <x v="1"/>
    <n v="4448.18"/>
    <n v="6"/>
    <x v="2"/>
    <n v="563.59"/>
    <n v="838.97"/>
    <s v="New"/>
    <n v="0.17"/>
    <s v="Credit Card"/>
    <s v="Online"/>
    <x v="13"/>
    <n v="3381.54"/>
    <n v="1066.6400000000003"/>
    <n v="0.23979245444204153"/>
    <x v="9"/>
    <n v="2023"/>
  </r>
  <r>
    <n v="1044"/>
    <d v="2023-07-29T00:00:00"/>
    <s v="Alice"/>
    <x v="0"/>
    <n v="6144.41"/>
    <n v="47"/>
    <x v="3"/>
    <n v="1512.34"/>
    <n v="1830.76"/>
    <s v="New"/>
    <n v="0.12"/>
    <s v="Bank Transfer"/>
    <s v="Online"/>
    <x v="15"/>
    <n v="71079.98"/>
    <n v="-64935.569999999992"/>
    <n v="-10.568235192638511"/>
    <x v="11"/>
    <n v="2023"/>
  </r>
  <r>
    <n v="1029"/>
    <d v="2023-06-10T00:00:00"/>
    <s v="Eve"/>
    <x v="3"/>
    <n v="1687.62"/>
    <n v="15"/>
    <x v="2"/>
    <n v="498.27"/>
    <n v="634.16"/>
    <s v="Returning"/>
    <n v="0.11"/>
    <s v="Credit Card"/>
    <s v="Retail"/>
    <x v="14"/>
    <n v="7474.0499999999993"/>
    <n v="-5786.4299999999994"/>
    <n v="-3.4287517332100825"/>
    <x v="6"/>
    <n v="2023"/>
  </r>
  <r>
    <n v="1013"/>
    <d v="2023-01-16T00:00:00"/>
    <s v="Eve"/>
    <x v="3"/>
    <n v="6769.09"/>
    <n v="20"/>
    <x v="2"/>
    <n v="3356.62"/>
    <n v="3759.0099999999902"/>
    <s v="Returning"/>
    <n v="0.05"/>
    <s v="Credit Card"/>
    <s v="Retail"/>
    <x v="14"/>
    <n v="67132.399999999994"/>
    <n v="-60363.31"/>
    <n v="-8.9174926024029819"/>
    <x v="5"/>
    <n v="2023"/>
  </r>
  <r>
    <n v="1012"/>
    <d v="2023-04-18T00:00:00"/>
    <s v="Alice"/>
    <x v="2"/>
    <n v="1874.61"/>
    <n v="9"/>
    <x v="3"/>
    <n v="709.97"/>
    <n v="1029.71"/>
    <s v="Returning"/>
    <n v="0.13"/>
    <s v="Bank Transfer"/>
    <s v="Retail"/>
    <x v="9"/>
    <n v="6389.7300000000005"/>
    <n v="-4515.1200000000008"/>
    <n v="-2.4085649815161561"/>
    <x v="1"/>
    <n v="2023"/>
  </r>
  <r>
    <n v="1095"/>
    <d v="2023-11-07T00:00:00"/>
    <s v="Charlie"/>
    <x v="1"/>
    <n v="6970.1"/>
    <n v="32"/>
    <x v="2"/>
    <n v="4266.6400000000003"/>
    <n v="4523.3599999999997"/>
    <s v="New"/>
    <n v="0.3"/>
    <s v="Bank Transfer"/>
    <s v="Retail"/>
    <x v="5"/>
    <n v="136532.48000000001"/>
    <n v="-129562.38"/>
    <n v="-18.588310067287413"/>
    <x v="8"/>
    <n v="2023"/>
  </r>
  <r>
    <n v="1046"/>
    <d v="2023-08-15T00:00:00"/>
    <s v="Alice"/>
    <x v="2"/>
    <n v="2373.02"/>
    <n v="4"/>
    <x v="0"/>
    <n v="4095.1"/>
    <n v="4134.55"/>
    <s v="Returning"/>
    <n v="0.09"/>
    <s v="Bank Transfer"/>
    <s v="Retail"/>
    <x v="9"/>
    <n v="16380.4"/>
    <n v="-14007.38"/>
    <n v="-5.9027652527159482"/>
    <x v="3"/>
    <n v="2023"/>
  </r>
  <r>
    <n v="1002"/>
    <d v="2023-06-19T00:00:00"/>
    <s v="Eve"/>
    <x v="1"/>
    <n v="1263.76"/>
    <n v="18"/>
    <x v="1"/>
    <n v="117.63"/>
    <n v="576.44000000000005"/>
    <s v="New"/>
    <n v="0.18"/>
    <s v="Credit Card"/>
    <s v="Retail"/>
    <x v="8"/>
    <n v="2117.34"/>
    <n v="-853.58000000000015"/>
    <n v="-0.67542887890105729"/>
    <x v="6"/>
    <n v="2023"/>
  </r>
  <r>
    <n v="1035"/>
    <d v="2023-02-03T00:00:00"/>
    <s v="Charlie"/>
    <x v="0"/>
    <n v="1736.32"/>
    <n v="5"/>
    <x v="1"/>
    <n v="4483.8500000000004"/>
    <n v="4795.42"/>
    <s v="Returning"/>
    <n v="0.23"/>
    <s v="Cash"/>
    <s v="Online"/>
    <x v="19"/>
    <n v="22419.25"/>
    <n v="-20682.93"/>
    <n v="-11.911934436048655"/>
    <x v="0"/>
    <n v="2023"/>
  </r>
  <r>
    <n v="1087"/>
    <d v="2023-09-08T00:00:00"/>
    <s v="Charlie"/>
    <x v="0"/>
    <n v="119.72"/>
    <n v="20"/>
    <x v="2"/>
    <n v="193.27"/>
    <n v="297.69"/>
    <s v="New"/>
    <n v="0.22"/>
    <s v="Cash"/>
    <s v="Online"/>
    <x v="19"/>
    <n v="3865.4"/>
    <n v="-3745.6800000000003"/>
    <n v="-31.287003007016374"/>
    <x v="2"/>
    <n v="2023"/>
  </r>
  <r>
    <n v="1081"/>
    <d v="2023-09-04T00:00:00"/>
    <s v="Alice"/>
    <x v="0"/>
    <n v="7215.52"/>
    <n v="23"/>
    <x v="3"/>
    <n v="1236.25"/>
    <n v="1543.38"/>
    <s v="New"/>
    <n v="0.1"/>
    <s v="Bank Transfer"/>
    <s v="Online"/>
    <x v="15"/>
    <n v="28433.75"/>
    <n v="-21218.23"/>
    <n v="-2.9406376809987358"/>
    <x v="2"/>
    <n v="2023"/>
  </r>
  <r>
    <n v="1090"/>
    <d v="2023-09-26T00:00:00"/>
    <s v="Eve"/>
    <x v="0"/>
    <n v="7350.77"/>
    <n v="11"/>
    <x v="3"/>
    <n v="210.33"/>
    <n v="552.29"/>
    <s v="Returning"/>
    <n v="0.18"/>
    <s v="Cash"/>
    <s v="Retail"/>
    <x v="7"/>
    <n v="2313.63"/>
    <n v="5037.1400000000003"/>
    <n v="0.68525338161852434"/>
    <x v="2"/>
    <n v="2023"/>
  </r>
  <r>
    <n v="1008"/>
    <d v="2023-05-21T00:00:00"/>
    <s v="David"/>
    <x v="3"/>
    <n v="5197.84"/>
    <n v="37"/>
    <x v="0"/>
    <n v="1712.43"/>
    <n v="1980.06"/>
    <s v="New"/>
    <n v="0.26"/>
    <s v="Cash"/>
    <s v="Online"/>
    <x v="16"/>
    <n v="63359.91"/>
    <n v="-58162.070000000007"/>
    <n v="-11.189661474766442"/>
    <x v="10"/>
    <n v="2023"/>
  </r>
  <r>
    <n v="1093"/>
    <d v="2023-10-01T00:00:00"/>
    <s v="Eve"/>
    <x v="3"/>
    <n v="1697.49"/>
    <n v="22"/>
    <x v="3"/>
    <n v="2593.64"/>
    <n v="2955.5099999999902"/>
    <s v="Returning"/>
    <n v="0"/>
    <s v="Bank Transfer"/>
    <s v="Retail"/>
    <x v="14"/>
    <n v="57060.079999999994"/>
    <n v="-55362.59"/>
    <n v="-32.614383589888597"/>
    <x v="7"/>
    <n v="2023"/>
  </r>
  <r>
    <n v="1026"/>
    <d v="2023-04-06T00:00:00"/>
    <s v="Bob"/>
    <x v="2"/>
    <n v="927.19"/>
    <n v="4"/>
    <x v="3"/>
    <n v="3993.39"/>
    <n v="4288.3"/>
    <s v="New"/>
    <n v="0.13"/>
    <s v="Credit Card"/>
    <s v="Online"/>
    <x v="3"/>
    <n v="15973.56"/>
    <n v="-15046.369999999999"/>
    <n v="-16.227925236467172"/>
    <x v="1"/>
    <n v="2023"/>
  </r>
  <r>
    <n v="1074"/>
    <d v="2023-08-15T00:00:00"/>
    <s v="David"/>
    <x v="1"/>
    <n v="289.38"/>
    <n v="29"/>
    <x v="0"/>
    <n v="1723.01"/>
    <n v="2197.42"/>
    <s v="New"/>
    <n v="7.0000000000000007E-2"/>
    <s v="Bank Transfer"/>
    <s v="Retail"/>
    <x v="13"/>
    <n v="49967.29"/>
    <n v="-49677.91"/>
    <n v="-171.67015688713803"/>
    <x v="3"/>
    <n v="2023"/>
  </r>
  <r>
    <n v="1090"/>
    <d v="2023-02-08T00:00:00"/>
    <s v="Charlie"/>
    <x v="0"/>
    <n v="1740.91"/>
    <n v="44"/>
    <x v="2"/>
    <n v="3542.18"/>
    <n v="3578.49"/>
    <s v="Returning"/>
    <n v="0.12"/>
    <s v="Cash"/>
    <s v="Online"/>
    <x v="19"/>
    <n v="155855.91999999998"/>
    <n v="-154115.00999999998"/>
    <n v="-88.52554698404856"/>
    <x v="0"/>
    <n v="2023"/>
  </r>
  <r>
    <n v="1034"/>
    <d v="2023-10-29T00:00:00"/>
    <s v="David"/>
    <x v="0"/>
    <n v="8919.4699999999993"/>
    <n v="34"/>
    <x v="1"/>
    <n v="978.15"/>
    <n v="1040.21"/>
    <s v="New"/>
    <n v="0.12"/>
    <s v="Credit Card"/>
    <s v="Retail"/>
    <x v="11"/>
    <n v="33257.1"/>
    <n v="-24337.629999999997"/>
    <n v="-2.7285959815998035"/>
    <x v="7"/>
    <n v="2023"/>
  </r>
  <r>
    <n v="1007"/>
    <d v="2023-01-29T00:00:00"/>
    <s v="Charlie"/>
    <x v="1"/>
    <n v="2491.21"/>
    <n v="13"/>
    <x v="0"/>
    <n v="3765.46"/>
    <n v="3860.56"/>
    <s v="Returning"/>
    <n v="0.22"/>
    <s v="Cash"/>
    <s v="Retail"/>
    <x v="5"/>
    <n v="48950.98"/>
    <n v="-46459.770000000004"/>
    <n v="-18.649479570168715"/>
    <x v="5"/>
    <n v="2023"/>
  </r>
  <r>
    <n v="1068"/>
    <d v="2023-11-14T00:00:00"/>
    <s v="Charlie"/>
    <x v="1"/>
    <n v="3607.29"/>
    <n v="42"/>
    <x v="2"/>
    <n v="1218.18"/>
    <n v="1566.36"/>
    <s v="Returning"/>
    <n v="0.03"/>
    <s v="Credit Card"/>
    <s v="Retail"/>
    <x v="5"/>
    <n v="51163.560000000005"/>
    <n v="-47556.270000000004"/>
    <n v="-13.183378658217112"/>
    <x v="8"/>
    <n v="2023"/>
  </r>
  <r>
    <n v="1058"/>
    <d v="2023-09-02T00:00:00"/>
    <s v="David"/>
    <x v="2"/>
    <n v="1142.92"/>
    <n v="9"/>
    <x v="0"/>
    <n v="760.55"/>
    <n v="1086.8899999999901"/>
    <s v="Returning"/>
    <n v="0.15"/>
    <s v="Cash"/>
    <s v="Retail"/>
    <x v="2"/>
    <n v="6844.95"/>
    <n v="-5702.03"/>
    <n v="-4.98900185489798"/>
    <x v="2"/>
    <n v="2023"/>
  </r>
  <r>
    <n v="1075"/>
    <d v="2023-08-24T00:00:00"/>
    <s v="Charlie"/>
    <x v="1"/>
    <n v="2301.38"/>
    <n v="42"/>
    <x v="2"/>
    <n v="967.77"/>
    <n v="1414.88"/>
    <s v="New"/>
    <n v="0.17"/>
    <s v="Bank Transfer"/>
    <s v="Online"/>
    <x v="5"/>
    <n v="40646.339999999997"/>
    <n v="-38344.959999999999"/>
    <n v="-16.661724704307847"/>
    <x v="3"/>
    <n v="2023"/>
  </r>
  <r>
    <n v="1029"/>
    <d v="2023-07-04T00:00:00"/>
    <s v="Charlie"/>
    <x v="0"/>
    <n v="5240.32"/>
    <n v="31"/>
    <x v="0"/>
    <n v="951.21"/>
    <n v="1320.32"/>
    <s v="New"/>
    <n v="0.15"/>
    <s v="Cash"/>
    <s v="Online"/>
    <x v="19"/>
    <n v="29487.510000000002"/>
    <n v="-24247.190000000002"/>
    <n v="-4.6270437683194929"/>
    <x v="11"/>
    <n v="2023"/>
  </r>
  <r>
    <n v="1036"/>
    <d v="2023-09-29T00:00:00"/>
    <s v="Bob"/>
    <x v="0"/>
    <n v="6116.75"/>
    <n v="7"/>
    <x v="2"/>
    <n v="2588.67"/>
    <n v="2847.76"/>
    <s v="New"/>
    <n v="0.22"/>
    <s v="Cash"/>
    <s v="Retail"/>
    <x v="0"/>
    <n v="18120.690000000002"/>
    <n v="-12003.940000000002"/>
    <n v="-1.9624702660726696"/>
    <x v="2"/>
    <n v="2023"/>
  </r>
  <r>
    <n v="1089"/>
    <d v="2023-08-24T00:00:00"/>
    <s v="Eve"/>
    <x v="0"/>
    <n v="2528.9899999999998"/>
    <n v="4"/>
    <x v="0"/>
    <n v="4231.75"/>
    <n v="4727.75"/>
    <s v="Returning"/>
    <n v="0.12"/>
    <s v="Credit Card"/>
    <s v="Retail"/>
    <x v="7"/>
    <n v="16927"/>
    <n v="-14398.01"/>
    <n v="-5.6931858172630188"/>
    <x v="3"/>
    <n v="2023"/>
  </r>
  <r>
    <n v="1021"/>
    <d v="2023-08-27T00:00:00"/>
    <s v="Eve"/>
    <x v="0"/>
    <n v="671.55"/>
    <n v="19"/>
    <x v="2"/>
    <n v="444.05"/>
    <n v="584.44000000000005"/>
    <s v="Returning"/>
    <n v="0.28000000000000003"/>
    <s v="Cash"/>
    <s v="Retail"/>
    <x v="7"/>
    <n v="8436.9500000000007"/>
    <n v="-7765.4000000000005"/>
    <n v="-11.563398108852656"/>
    <x v="3"/>
    <n v="2023"/>
  </r>
  <r>
    <n v="1036"/>
    <d v="2023-09-23T00:00:00"/>
    <s v="Bob"/>
    <x v="0"/>
    <n v="3971.23"/>
    <n v="42"/>
    <x v="0"/>
    <n v="3549.43"/>
    <n v="3967.6899999999901"/>
    <s v="New"/>
    <n v="0.14000000000000001"/>
    <s v="Bank Transfer"/>
    <s v="Online"/>
    <x v="0"/>
    <n v="149076.06"/>
    <n v="-145104.82999999999"/>
    <n v="-36.539014360789977"/>
    <x v="2"/>
    <n v="2023"/>
  </r>
  <r>
    <n v="1010"/>
    <d v="2023-12-25T00:00:00"/>
    <s v="David"/>
    <x v="2"/>
    <n v="2418.61"/>
    <n v="30"/>
    <x v="1"/>
    <n v="3289.01"/>
    <n v="3508.14"/>
    <s v="New"/>
    <n v="0.17"/>
    <s v="Bank Transfer"/>
    <s v="Retail"/>
    <x v="2"/>
    <n v="98670.3"/>
    <n v="-96251.69"/>
    <n v="-39.79628381591079"/>
    <x v="9"/>
    <n v="2023"/>
  </r>
  <r>
    <n v="1073"/>
    <d v="2023-12-06T00:00:00"/>
    <s v="Alice"/>
    <x v="0"/>
    <n v="2273.58"/>
    <n v="31"/>
    <x v="1"/>
    <n v="4368.97"/>
    <n v="4696.8500000000004"/>
    <s v="Returning"/>
    <n v="0.25"/>
    <s v="Bank Transfer"/>
    <s v="Retail"/>
    <x v="15"/>
    <n v="135438.07"/>
    <n v="-133164.49000000002"/>
    <n v="-58.570399985925292"/>
    <x v="9"/>
    <n v="2023"/>
  </r>
  <r>
    <n v="1024"/>
    <d v="2023-03-06T00:00:00"/>
    <s v="Alice"/>
    <x v="2"/>
    <n v="9602.64"/>
    <n v="35"/>
    <x v="3"/>
    <n v="1258.53"/>
    <n v="1624.8899999999901"/>
    <s v="New"/>
    <n v="0.08"/>
    <s v="Credit Card"/>
    <s v="Online"/>
    <x v="9"/>
    <n v="44048.549999999996"/>
    <n v="-34445.909999999996"/>
    <n v="-3.587129164479768"/>
    <x v="4"/>
    <n v="2023"/>
  </r>
  <r>
    <n v="1064"/>
    <d v="2023-06-26T00:00:00"/>
    <s v="Alice"/>
    <x v="0"/>
    <n v="6201.37"/>
    <n v="21"/>
    <x v="2"/>
    <n v="2278.04"/>
    <n v="2598.58"/>
    <s v="Returning"/>
    <n v="0.02"/>
    <s v="Credit Card"/>
    <s v="Retail"/>
    <x v="15"/>
    <n v="47838.84"/>
    <n v="-41637.469999999994"/>
    <n v="-6.7142373378785649"/>
    <x v="6"/>
    <n v="2023"/>
  </r>
  <r>
    <n v="1099"/>
    <d v="2023-01-03T00:00:00"/>
    <s v="Bob"/>
    <x v="3"/>
    <n v="5613.1"/>
    <n v="31"/>
    <x v="0"/>
    <n v="4632.8500000000004"/>
    <n v="4711.7"/>
    <s v="New"/>
    <n v="0.21"/>
    <s v="Cash"/>
    <s v="Retail"/>
    <x v="12"/>
    <n v="143618.35"/>
    <n v="-138005.25"/>
    <n v="-24.586280308563893"/>
    <x v="5"/>
    <n v="2023"/>
  </r>
  <r>
    <n v="1049"/>
    <d v="2023-05-22T00:00:00"/>
    <s v="Bob"/>
    <x v="3"/>
    <n v="4216.17"/>
    <n v="19"/>
    <x v="2"/>
    <n v="3316.97"/>
    <n v="3544.02"/>
    <s v="Returning"/>
    <n v="0.14000000000000001"/>
    <s v="Cash"/>
    <s v="Online"/>
    <x v="12"/>
    <n v="63022.429999999993"/>
    <n v="-58806.259999999995"/>
    <n v="-13.947791478996338"/>
    <x v="10"/>
    <n v="2023"/>
  </r>
  <r>
    <n v="1099"/>
    <d v="2023-06-07T00:00:00"/>
    <s v="Charlie"/>
    <x v="3"/>
    <n v="4346.55"/>
    <n v="31"/>
    <x v="1"/>
    <n v="1974.4"/>
    <n v="2259.5"/>
    <s v="New"/>
    <n v="0.27"/>
    <s v="Cash"/>
    <s v="Retail"/>
    <x v="4"/>
    <n v="61206.400000000001"/>
    <n v="-56859.85"/>
    <n v="-13.081604951053134"/>
    <x v="6"/>
    <n v="2023"/>
  </r>
  <r>
    <n v="1036"/>
    <d v="2023-11-20T00:00:00"/>
    <s v="Alice"/>
    <x v="3"/>
    <n v="5454.96"/>
    <n v="32"/>
    <x v="2"/>
    <n v="700.49"/>
    <n v="1126.52"/>
    <s v="New"/>
    <n v="0.28999999999999998"/>
    <s v="Credit Card"/>
    <s v="Retail"/>
    <x v="18"/>
    <n v="22415.68"/>
    <n v="-16960.72"/>
    <n v="-3.1092290319269069"/>
    <x v="8"/>
    <n v="2023"/>
  </r>
  <r>
    <n v="1082"/>
    <d v="2023-05-26T00:00:00"/>
    <s v="David"/>
    <x v="2"/>
    <n v="6994.66"/>
    <n v="2"/>
    <x v="0"/>
    <n v="1349.3"/>
    <n v="1576.69"/>
    <s v="Returning"/>
    <n v="0.12"/>
    <s v="Credit Card"/>
    <s v="Online"/>
    <x v="2"/>
    <n v="2698.6"/>
    <n v="4296.0599999999995"/>
    <n v="0.61419139743747364"/>
    <x v="10"/>
    <n v="2023"/>
  </r>
  <r>
    <n v="1096"/>
    <d v="2023-10-20T00:00:00"/>
    <s v="David"/>
    <x v="2"/>
    <n v="7051.25"/>
    <n v="10"/>
    <x v="2"/>
    <n v="2927.02"/>
    <n v="3387.21"/>
    <s v="Returning"/>
    <n v="0.12"/>
    <s v="Cash"/>
    <s v="Retail"/>
    <x v="2"/>
    <n v="29270.2"/>
    <n v="-22218.95"/>
    <n v="-3.1510654139336998"/>
    <x v="7"/>
    <n v="2023"/>
  </r>
  <r>
    <n v="1024"/>
    <d v="2023-06-02T00:00:00"/>
    <s v="Alice"/>
    <x v="1"/>
    <n v="1799.77"/>
    <n v="2"/>
    <x v="0"/>
    <n v="3604.93"/>
    <n v="3830.71"/>
    <s v="Returning"/>
    <n v="0.12"/>
    <s v="Credit Card"/>
    <s v="Online"/>
    <x v="17"/>
    <n v="7209.86"/>
    <n v="-5410.09"/>
    <n v="-3.0059896542335967"/>
    <x v="6"/>
    <n v="2023"/>
  </r>
  <r>
    <n v="1023"/>
    <d v="2023-07-12T00:00:00"/>
    <s v="Alice"/>
    <x v="0"/>
    <n v="5051.12"/>
    <n v="2"/>
    <x v="1"/>
    <n v="665.89"/>
    <n v="944.79"/>
    <s v="New"/>
    <n v="0.1"/>
    <s v="Credit Card"/>
    <s v="Retail"/>
    <x v="15"/>
    <n v="1331.78"/>
    <n v="3719.34"/>
    <n v="0.73633966328259881"/>
    <x v="11"/>
    <n v="2023"/>
  </r>
  <r>
    <n v="1062"/>
    <d v="2023-03-14T00:00:00"/>
    <s v="Alice"/>
    <x v="3"/>
    <n v="4178.3900000000003"/>
    <n v="24"/>
    <x v="1"/>
    <n v="3018.01"/>
    <n v="3418.19"/>
    <s v="Returning"/>
    <n v="0.23"/>
    <s v="Bank Transfer"/>
    <s v="Retail"/>
    <x v="18"/>
    <n v="72432.240000000005"/>
    <n v="-68253.850000000006"/>
    <n v="-16.3349639454431"/>
    <x v="4"/>
    <n v="2023"/>
  </r>
  <r>
    <n v="1096"/>
    <d v="2023-11-01T00:00:00"/>
    <s v="Bob"/>
    <x v="2"/>
    <n v="8718.2199999999993"/>
    <n v="17"/>
    <x v="1"/>
    <n v="2774.24"/>
    <n v="3069.9399999999901"/>
    <s v="Returning"/>
    <n v="0.23"/>
    <s v="Bank Transfer"/>
    <s v="Retail"/>
    <x v="3"/>
    <n v="47162.079999999994"/>
    <n v="-38443.859999999993"/>
    <n v="-4.4095996659868639"/>
    <x v="8"/>
    <n v="2023"/>
  </r>
  <r>
    <n v="1037"/>
    <d v="2023-12-10T00:00:00"/>
    <s v="Bob"/>
    <x v="0"/>
    <n v="6351.05"/>
    <n v="32"/>
    <x v="3"/>
    <n v="2594.08"/>
    <n v="3074.59"/>
    <s v="New"/>
    <n v="0.14000000000000001"/>
    <s v="Cash"/>
    <s v="Retail"/>
    <x v="0"/>
    <n v="83010.559999999998"/>
    <n v="-76659.509999999995"/>
    <n v="-12.070367891923382"/>
    <x v="9"/>
    <n v="2023"/>
  </r>
  <r>
    <n v="1012"/>
    <d v="2023-05-20T00:00:00"/>
    <s v="Bob"/>
    <x v="0"/>
    <n v="5371.79"/>
    <n v="16"/>
    <x v="1"/>
    <n v="3466.11"/>
    <n v="3799.67"/>
    <s v="Returning"/>
    <n v="0.01"/>
    <s v="Cash"/>
    <s v="Retail"/>
    <x v="0"/>
    <n v="55457.760000000002"/>
    <n v="-50085.97"/>
    <n v="-9.3238883128342689"/>
    <x v="10"/>
    <n v="2023"/>
  </r>
  <r>
    <n v="1055"/>
    <d v="2023-07-06T00:00:00"/>
    <s v="Eve"/>
    <x v="2"/>
    <n v="1242.4100000000001"/>
    <n v="16"/>
    <x v="2"/>
    <n v="4195.38"/>
    <n v="4461.51"/>
    <s v="Returning"/>
    <n v="0.09"/>
    <s v="Bank Transfer"/>
    <s v="Online"/>
    <x v="6"/>
    <n v="67126.080000000002"/>
    <n v="-65883.67"/>
    <n v="-53.028927648682796"/>
    <x v="11"/>
    <n v="2023"/>
  </r>
  <r>
    <n v="1013"/>
    <d v="2023-10-20T00:00:00"/>
    <s v="David"/>
    <x v="3"/>
    <n v="6095.82"/>
    <n v="46"/>
    <x v="3"/>
    <n v="1648.8"/>
    <n v="1670.36"/>
    <s v="Returning"/>
    <n v="0.09"/>
    <s v="Credit Card"/>
    <s v="Retail"/>
    <x v="16"/>
    <n v="75844.800000000003"/>
    <n v="-69748.98000000001"/>
    <n v="-11.442099668297294"/>
    <x v="7"/>
    <n v="2023"/>
  </r>
  <r>
    <n v="1023"/>
    <d v="2023-03-02T00:00:00"/>
    <s v="David"/>
    <x v="1"/>
    <n v="1260.32"/>
    <n v="39"/>
    <x v="1"/>
    <n v="4450.6099999999997"/>
    <n v="4663.3399999999901"/>
    <s v="New"/>
    <n v="0.24"/>
    <s v="Cash"/>
    <s v="Retail"/>
    <x v="13"/>
    <n v="173573.78999999998"/>
    <n v="-172313.46999999997"/>
    <n v="-136.72199917481274"/>
    <x v="4"/>
    <n v="2023"/>
  </r>
  <r>
    <n v="1089"/>
    <d v="2023-07-17T00:00:00"/>
    <s v="Charlie"/>
    <x v="0"/>
    <n v="3438.35"/>
    <n v="31"/>
    <x v="2"/>
    <n v="845.14"/>
    <n v="1001.77"/>
    <s v="New"/>
    <n v="0.03"/>
    <s v="Cash"/>
    <s v="Online"/>
    <x v="19"/>
    <n v="26199.34"/>
    <n v="-22760.99"/>
    <n v="-6.6197420274259464"/>
    <x v="11"/>
    <n v="2023"/>
  </r>
  <r>
    <n v="1099"/>
    <d v="2023-10-22T00:00:00"/>
    <s v="Bob"/>
    <x v="1"/>
    <n v="1514.14"/>
    <n v="43"/>
    <x v="2"/>
    <n v="906.47"/>
    <n v="1283.04"/>
    <s v="New"/>
    <n v="0.24"/>
    <s v="Cash"/>
    <s v="Online"/>
    <x v="1"/>
    <n v="38978.21"/>
    <n v="-37464.07"/>
    <n v="-24.742804496281718"/>
    <x v="7"/>
    <n v="2023"/>
  </r>
  <r>
    <n v="1030"/>
    <d v="2023-11-15T00:00:00"/>
    <s v="Eve"/>
    <x v="3"/>
    <n v="6951.53"/>
    <n v="24"/>
    <x v="2"/>
    <n v="1370.52"/>
    <n v="1482.58"/>
    <s v="Returning"/>
    <n v="0.2"/>
    <s v="Credit Card"/>
    <s v="Retail"/>
    <x v="14"/>
    <n v="32892.479999999996"/>
    <n v="-25940.949999999997"/>
    <n v="-3.7316892827909824"/>
    <x v="8"/>
    <n v="2023"/>
  </r>
  <r>
    <n v="1017"/>
    <d v="2023-10-29T00:00:00"/>
    <s v="Eve"/>
    <x v="3"/>
    <n v="2141.9"/>
    <n v="1"/>
    <x v="0"/>
    <n v="641.67999999999995"/>
    <n v="752.24"/>
    <s v="New"/>
    <n v="0.22"/>
    <s v="Bank Transfer"/>
    <s v="Online"/>
    <x v="14"/>
    <n v="641.67999999999995"/>
    <n v="1500.2200000000003"/>
    <n v="0.70041551893178966"/>
    <x v="7"/>
    <n v="2023"/>
  </r>
  <r>
    <n v="1062"/>
    <d v="2023-12-10T00:00:00"/>
    <s v="David"/>
    <x v="1"/>
    <n v="3979.41"/>
    <n v="11"/>
    <x v="3"/>
    <n v="1190.08"/>
    <n v="1292.9399999999901"/>
    <s v="Returning"/>
    <n v="0.13"/>
    <s v="Cash"/>
    <s v="Retail"/>
    <x v="13"/>
    <n v="13090.88"/>
    <n v="-9111.4699999999993"/>
    <n v="-2.2896534913467073"/>
    <x v="9"/>
    <n v="2023"/>
  </r>
  <r>
    <n v="1084"/>
    <d v="2023-01-11T00:00:00"/>
    <s v="Bob"/>
    <x v="3"/>
    <n v="8967.18"/>
    <n v="21"/>
    <x v="2"/>
    <n v="576.74"/>
    <n v="648.29"/>
    <s v="Returning"/>
    <n v="0.2"/>
    <s v="Bank Transfer"/>
    <s v="Online"/>
    <x v="12"/>
    <n v="12111.54"/>
    <n v="-3144.3600000000006"/>
    <n v="-0.35065204445544756"/>
    <x v="5"/>
    <n v="2023"/>
  </r>
  <r>
    <n v="1089"/>
    <d v="2023-03-03T00:00:00"/>
    <s v="Charlie"/>
    <x v="0"/>
    <n v="2122.73"/>
    <n v="4"/>
    <x v="0"/>
    <n v="4117.67"/>
    <n v="4280.0600000000004"/>
    <s v="Returning"/>
    <n v="0.18"/>
    <s v="Bank Transfer"/>
    <s v="Online"/>
    <x v="19"/>
    <n v="16470.68"/>
    <n v="-14347.95"/>
    <n v="-6.7591968832588227"/>
    <x v="4"/>
    <n v="2023"/>
  </r>
  <r>
    <n v="1086"/>
    <d v="2023-11-29T00:00:00"/>
    <s v="Bob"/>
    <x v="1"/>
    <n v="5127.2700000000004"/>
    <n v="7"/>
    <x v="1"/>
    <n v="737.9"/>
    <n v="1182"/>
    <s v="New"/>
    <n v="0.23"/>
    <s v="Credit Card"/>
    <s v="Retail"/>
    <x v="1"/>
    <n v="5165.3"/>
    <n v="-38.029999999999745"/>
    <n v="-7.417202526880726E-3"/>
    <x v="8"/>
    <n v="2023"/>
  </r>
  <r>
    <n v="1013"/>
    <d v="2023-08-14T00:00:00"/>
    <s v="Alice"/>
    <x v="3"/>
    <n v="4250.79"/>
    <n v="26"/>
    <x v="2"/>
    <n v="3749.12"/>
    <n v="4138.83"/>
    <s v="New"/>
    <n v="0.13"/>
    <s v="Credit Card"/>
    <s v="Online"/>
    <x v="18"/>
    <n v="97477.119999999995"/>
    <n v="-93226.33"/>
    <n v="-21.931530374353944"/>
    <x v="3"/>
    <n v="2023"/>
  </r>
  <r>
    <n v="1059"/>
    <d v="2023-06-02T00:00:00"/>
    <s v="Bob"/>
    <x v="1"/>
    <n v="279.43"/>
    <n v="47"/>
    <x v="0"/>
    <n v="287.17"/>
    <n v="657.44"/>
    <s v="Returning"/>
    <n v="0.14000000000000001"/>
    <s v="Credit Card"/>
    <s v="Retail"/>
    <x v="1"/>
    <n v="13496.990000000002"/>
    <n v="-13217.560000000001"/>
    <n v="-47.301864509895147"/>
    <x v="6"/>
    <n v="2023"/>
  </r>
  <r>
    <n v="1019"/>
    <d v="2023-07-18T00:00:00"/>
    <s v="Alice"/>
    <x v="0"/>
    <n v="7948.31"/>
    <n v="12"/>
    <x v="2"/>
    <n v="4745.18"/>
    <n v="5145.88"/>
    <s v="Returning"/>
    <n v="0.19"/>
    <s v="Credit Card"/>
    <s v="Online"/>
    <x v="15"/>
    <n v="56942.16"/>
    <n v="-48993.850000000006"/>
    <n v="-6.1640587747584084"/>
    <x v="11"/>
    <n v="2023"/>
  </r>
  <r>
    <n v="1049"/>
    <d v="2023-02-21T00:00:00"/>
    <s v="Alice"/>
    <x v="3"/>
    <n v="783.55"/>
    <n v="31"/>
    <x v="3"/>
    <n v="3570.24"/>
    <n v="3712.25"/>
    <s v="New"/>
    <n v="0.03"/>
    <s v="Credit Card"/>
    <s v="Online"/>
    <x v="18"/>
    <n v="110677.43999999999"/>
    <n v="-109893.88999999998"/>
    <n v="-140.2512794333482"/>
    <x v="0"/>
    <n v="2023"/>
  </r>
  <r>
    <n v="1100"/>
    <d v="2023-09-17T00:00:00"/>
    <s v="Charlie"/>
    <x v="0"/>
    <n v="4795.12"/>
    <n v="17"/>
    <x v="3"/>
    <n v="83.64"/>
    <n v="528.49"/>
    <s v="New"/>
    <n v="0.13"/>
    <s v="Credit Card"/>
    <s v="Online"/>
    <x v="19"/>
    <n v="1421.88"/>
    <n v="3373.24"/>
    <n v="0.70347353142361402"/>
    <x v="2"/>
    <n v="2023"/>
  </r>
  <r>
    <n v="1012"/>
    <d v="2023-02-28T00:00:00"/>
    <s v="David"/>
    <x v="3"/>
    <n v="5650.72"/>
    <n v="33"/>
    <x v="1"/>
    <n v="3831.09"/>
    <n v="3908.37"/>
    <s v="New"/>
    <n v="0.28999999999999998"/>
    <s v="Cash"/>
    <s v="Retail"/>
    <x v="16"/>
    <n v="126425.97"/>
    <n v="-120775.25"/>
    <n v="-21.373426749157627"/>
    <x v="0"/>
    <n v="2023"/>
  </r>
  <r>
    <n v="1061"/>
    <d v="2023-03-13T00:00:00"/>
    <s v="Bob"/>
    <x v="2"/>
    <n v="6321.42"/>
    <n v="11"/>
    <x v="2"/>
    <n v="2594.71"/>
    <n v="2769.52"/>
    <s v="Returning"/>
    <n v="0.01"/>
    <s v="Bank Transfer"/>
    <s v="Retail"/>
    <x v="3"/>
    <n v="28541.81"/>
    <n v="-22220.39"/>
    <n v="-3.5150947097329395"/>
    <x v="4"/>
    <n v="2023"/>
  </r>
  <r>
    <n v="1019"/>
    <d v="2023-05-28T00:00:00"/>
    <s v="Alice"/>
    <x v="3"/>
    <n v="6917.45"/>
    <n v="28"/>
    <x v="0"/>
    <n v="3907.86"/>
    <n v="4205.37"/>
    <s v="New"/>
    <n v="0.09"/>
    <s v="Credit Card"/>
    <s v="Online"/>
    <x v="18"/>
    <n v="109420.08"/>
    <n v="-102502.63"/>
    <n v="-14.817979168624277"/>
    <x v="10"/>
    <n v="2023"/>
  </r>
  <r>
    <n v="1076"/>
    <d v="2023-12-15T00:00:00"/>
    <s v="Bob"/>
    <x v="1"/>
    <n v="2607.4"/>
    <n v="32"/>
    <x v="1"/>
    <n v="2636.36"/>
    <n v="2696.78"/>
    <s v="New"/>
    <n v="0.09"/>
    <s v="Cash"/>
    <s v="Retail"/>
    <x v="1"/>
    <n v="84363.520000000004"/>
    <n v="-81756.12000000001"/>
    <n v="-31.355419191531798"/>
    <x v="9"/>
    <n v="2023"/>
  </r>
  <r>
    <n v="1009"/>
    <d v="2023-03-04T00:00:00"/>
    <s v="David"/>
    <x v="3"/>
    <n v="198.79"/>
    <n v="1"/>
    <x v="2"/>
    <n v="3223.07"/>
    <n v="3590.83"/>
    <s v="New"/>
    <n v="0.19"/>
    <s v="Bank Transfer"/>
    <s v="Retail"/>
    <x v="16"/>
    <n v="3223.07"/>
    <n v="-3024.28"/>
    <n v="-15.213441319985916"/>
    <x v="4"/>
    <n v="2023"/>
  </r>
  <r>
    <n v="1071"/>
    <d v="2023-11-06T00:00:00"/>
    <s v="David"/>
    <x v="0"/>
    <n v="7262.09"/>
    <n v="47"/>
    <x v="1"/>
    <n v="3942.34"/>
    <n v="4142.09"/>
    <s v="Returning"/>
    <n v="0.03"/>
    <s v="Credit Card"/>
    <s v="Retail"/>
    <x v="11"/>
    <n v="185289.98"/>
    <n v="-178027.89"/>
    <n v="-24.514690674447717"/>
    <x v="8"/>
    <n v="2023"/>
  </r>
  <r>
    <n v="1028"/>
    <d v="2023-08-31T00:00:00"/>
    <s v="Eve"/>
    <x v="0"/>
    <n v="5403"/>
    <n v="28"/>
    <x v="0"/>
    <n v="2055.2800000000002"/>
    <n v="2449.64"/>
    <s v="New"/>
    <n v="0.19"/>
    <s v="Credit Card"/>
    <s v="Online"/>
    <x v="7"/>
    <n v="57547.840000000004"/>
    <n v="-52144.840000000004"/>
    <n v="-9.6510901351101239"/>
    <x v="3"/>
    <n v="2023"/>
  </r>
  <r>
    <n v="1078"/>
    <d v="2024-01-01T00:00:00"/>
    <s v="David"/>
    <x v="3"/>
    <n v="8377.57"/>
    <n v="42"/>
    <x v="1"/>
    <n v="63.41"/>
    <n v="314.93"/>
    <s v="Returning"/>
    <n v="0.03"/>
    <s v="Cash"/>
    <s v="Retail"/>
    <x v="16"/>
    <n v="2663.22"/>
    <n v="5714.35"/>
    <n v="0.68210113433847774"/>
    <x v="5"/>
    <n v="2024"/>
  </r>
  <r>
    <n v="1095"/>
    <d v="2023-11-26T00:00:00"/>
    <s v="Charlie"/>
    <x v="1"/>
    <n v="8231.74"/>
    <n v="7"/>
    <x v="1"/>
    <n v="4257.24"/>
    <n v="4355.87"/>
    <s v="Returning"/>
    <n v="0.03"/>
    <s v="Bank Transfer"/>
    <s v="Online"/>
    <x v="5"/>
    <n v="29800.68"/>
    <n v="-21568.940000000002"/>
    <n v="-2.6202163819556987"/>
    <x v="8"/>
    <n v="2023"/>
  </r>
  <r>
    <n v="1052"/>
    <d v="2023-04-17T00:00:00"/>
    <s v="Alice"/>
    <x v="2"/>
    <n v="8448.93"/>
    <n v="2"/>
    <x v="1"/>
    <n v="1935.41"/>
    <n v="2305.44"/>
    <s v="Returning"/>
    <n v="0.22"/>
    <s v="Credit Card"/>
    <s v="Online"/>
    <x v="9"/>
    <n v="3870.82"/>
    <n v="4578.1100000000006"/>
    <n v="0.5418567794975222"/>
    <x v="1"/>
    <n v="2023"/>
  </r>
  <r>
    <n v="1083"/>
    <d v="2023-08-14T00:00:00"/>
    <s v="Eve"/>
    <x v="1"/>
    <n v="4902.4399999999996"/>
    <n v="42"/>
    <x v="2"/>
    <n v="2505.41"/>
    <n v="2638.96"/>
    <s v="New"/>
    <n v="0.1"/>
    <s v="Bank Transfer"/>
    <s v="Online"/>
    <x v="8"/>
    <n v="105227.22"/>
    <n v="-100324.78"/>
    <n v="-20.464254534476712"/>
    <x v="3"/>
    <n v="2023"/>
  </r>
  <r>
    <n v="1016"/>
    <d v="2023-11-09T00:00:00"/>
    <s v="Charlie"/>
    <x v="2"/>
    <n v="3402.92"/>
    <n v="24"/>
    <x v="0"/>
    <n v="88.44"/>
    <n v="338.94"/>
    <s v="New"/>
    <n v="0.28999999999999998"/>
    <s v="Cash"/>
    <s v="Online"/>
    <x v="10"/>
    <n v="2122.56"/>
    <n v="1280.3600000000001"/>
    <n v="0.37625333537079925"/>
    <x v="8"/>
    <n v="2023"/>
  </r>
  <r>
    <n v="1069"/>
    <d v="2023-08-06T00:00:00"/>
    <s v="Bob"/>
    <x v="0"/>
    <n v="7936.43"/>
    <n v="4"/>
    <x v="3"/>
    <n v="2485.86"/>
    <n v="2532.87"/>
    <s v="New"/>
    <n v="0.01"/>
    <s v="Credit Card"/>
    <s v="Online"/>
    <x v="0"/>
    <n v="9943.44"/>
    <n v="-2007.0100000000002"/>
    <n v="-0.25288574333799962"/>
    <x v="3"/>
    <n v="2023"/>
  </r>
  <r>
    <n v="1099"/>
    <d v="2023-08-29T00:00:00"/>
    <s v="Alice"/>
    <x v="1"/>
    <n v="4567.8100000000004"/>
    <n v="44"/>
    <x v="2"/>
    <n v="4933.1099999999997"/>
    <n v="5245.86"/>
    <s v="Returning"/>
    <n v="0.13"/>
    <s v="Bank Transfer"/>
    <s v="Retail"/>
    <x v="17"/>
    <n v="217056.84"/>
    <n v="-212489.03"/>
    <n v="-46.51879784842189"/>
    <x v="3"/>
    <n v="2023"/>
  </r>
  <r>
    <n v="1012"/>
    <d v="2023-09-16T00:00:00"/>
    <s v="David"/>
    <x v="2"/>
    <n v="1916.08"/>
    <n v="19"/>
    <x v="3"/>
    <n v="1427.42"/>
    <n v="1763.69"/>
    <s v="New"/>
    <n v="0.03"/>
    <s v="Cash"/>
    <s v="Retail"/>
    <x v="2"/>
    <n v="27120.980000000003"/>
    <n v="-25204.9"/>
    <n v="-13.15440900171183"/>
    <x v="2"/>
    <n v="2023"/>
  </r>
  <r>
    <n v="1025"/>
    <d v="2023-09-19T00:00:00"/>
    <s v="Alice"/>
    <x v="3"/>
    <n v="8564.24"/>
    <n v="26"/>
    <x v="3"/>
    <n v="2007.32"/>
    <n v="2202.87"/>
    <s v="Returning"/>
    <n v="0.11"/>
    <s v="Cash"/>
    <s v="Online"/>
    <x v="18"/>
    <n v="52190.32"/>
    <n v="-43626.080000000002"/>
    <n v="-5.0939814858060961"/>
    <x v="2"/>
    <n v="2023"/>
  </r>
  <r>
    <n v="1052"/>
    <d v="2023-01-05T00:00:00"/>
    <s v="Bob"/>
    <x v="0"/>
    <n v="8837.34"/>
    <n v="11"/>
    <x v="2"/>
    <n v="3451.59"/>
    <n v="3929.26"/>
    <s v="New"/>
    <n v="0.3"/>
    <s v="Credit Card"/>
    <s v="Retail"/>
    <x v="0"/>
    <n v="37967.490000000005"/>
    <n v="-29130.150000000005"/>
    <n v="-3.2962576974519489"/>
    <x v="5"/>
    <n v="2023"/>
  </r>
  <r>
    <n v="1085"/>
    <d v="2023-09-18T00:00:00"/>
    <s v="Eve"/>
    <x v="3"/>
    <n v="4716.47"/>
    <n v="40"/>
    <x v="2"/>
    <n v="4083.23"/>
    <n v="4521.57"/>
    <s v="New"/>
    <n v="0.27"/>
    <s v="Bank Transfer"/>
    <s v="Retail"/>
    <x v="14"/>
    <n v="163329.20000000001"/>
    <n v="-158612.73000000001"/>
    <n v="-33.629542857264013"/>
    <x v="2"/>
    <n v="2023"/>
  </r>
  <r>
    <n v="1100"/>
    <d v="2023-02-23T00:00:00"/>
    <s v="Eve"/>
    <x v="0"/>
    <n v="849.43"/>
    <n v="43"/>
    <x v="0"/>
    <n v="2116.09"/>
    <n v="2472.98"/>
    <s v="New"/>
    <n v="0.01"/>
    <s v="Credit Card"/>
    <s v="Retail"/>
    <x v="7"/>
    <n v="90991.87000000001"/>
    <n v="-90142.440000000017"/>
    <n v="-106.12109296822578"/>
    <x v="0"/>
    <n v="2023"/>
  </r>
  <r>
    <n v="1053"/>
    <d v="2023-02-16T00:00:00"/>
    <s v="Eve"/>
    <x v="1"/>
    <n v="3939.48"/>
    <n v="11"/>
    <x v="0"/>
    <n v="1582.86"/>
    <n v="1942.55"/>
    <s v="New"/>
    <n v="0.17"/>
    <s v="Credit Card"/>
    <s v="Retail"/>
    <x v="8"/>
    <n v="17411.46"/>
    <n v="-13471.98"/>
    <n v="-3.4197355996222849"/>
    <x v="0"/>
    <n v="2023"/>
  </r>
  <r>
    <n v="1023"/>
    <d v="2023-08-03T00:00:00"/>
    <s v="David"/>
    <x v="1"/>
    <n v="8055.02"/>
    <n v="45"/>
    <x v="1"/>
    <n v="4692.24"/>
    <n v="4825.92"/>
    <s v="Returning"/>
    <n v="0.19"/>
    <s v="Bank Transfer"/>
    <s v="Retail"/>
    <x v="13"/>
    <n v="211150.8"/>
    <n v="-203095.78"/>
    <n v="-25.213566198470019"/>
    <x v="3"/>
    <n v="2023"/>
  </r>
  <r>
    <n v="1016"/>
    <d v="2023-06-26T00:00:00"/>
    <s v="Charlie"/>
    <x v="0"/>
    <n v="9027.56"/>
    <n v="3"/>
    <x v="3"/>
    <n v="3401.87"/>
    <n v="3733.71"/>
    <s v="Returning"/>
    <n v="0.06"/>
    <s v="Bank Transfer"/>
    <s v="Retail"/>
    <x v="19"/>
    <n v="10205.61"/>
    <n v="-1178.0500000000011"/>
    <n v="-0.13049484024476171"/>
    <x v="6"/>
    <n v="2023"/>
  </r>
  <r>
    <n v="1057"/>
    <d v="2023-01-09T00:00:00"/>
    <s v="Charlie"/>
    <x v="0"/>
    <n v="2114.38"/>
    <n v="12"/>
    <x v="0"/>
    <n v="639.16"/>
    <n v="746.28"/>
    <s v="Returning"/>
    <n v="0.04"/>
    <s v="Bank Transfer"/>
    <s v="Retail"/>
    <x v="19"/>
    <n v="7669.92"/>
    <n v="-5555.54"/>
    <n v="-2.6275030978348259"/>
    <x v="5"/>
    <n v="2023"/>
  </r>
  <r>
    <n v="1039"/>
    <d v="2023-04-09T00:00:00"/>
    <s v="Alice"/>
    <x v="0"/>
    <n v="763.04"/>
    <n v="3"/>
    <x v="1"/>
    <n v="391.19"/>
    <n v="471.75"/>
    <s v="Returning"/>
    <n v="0.27"/>
    <s v="Cash"/>
    <s v="Online"/>
    <x v="15"/>
    <n v="1173.57"/>
    <n v="-410.53"/>
    <n v="-0.53801897672468024"/>
    <x v="1"/>
    <n v="2023"/>
  </r>
  <r>
    <n v="1053"/>
    <d v="2023-01-20T00:00:00"/>
    <s v="David"/>
    <x v="1"/>
    <n v="8785.77"/>
    <n v="42"/>
    <x v="0"/>
    <n v="2443.5700000000002"/>
    <n v="2943.31"/>
    <s v="New"/>
    <n v="0.28999999999999998"/>
    <s v="Cash"/>
    <s v="Online"/>
    <x v="13"/>
    <n v="102629.94"/>
    <n v="-93844.17"/>
    <n v="-10.681382508306044"/>
    <x v="5"/>
    <n v="2023"/>
  </r>
  <r>
    <n v="1042"/>
    <d v="2023-08-29T00:00:00"/>
    <s v="Eve"/>
    <x v="2"/>
    <n v="3955.11"/>
    <n v="27"/>
    <x v="2"/>
    <n v="1139.45"/>
    <n v="1454.41"/>
    <s v="Returning"/>
    <n v="0.3"/>
    <s v="Bank Transfer"/>
    <s v="Online"/>
    <x v="6"/>
    <n v="30765.15"/>
    <n v="-26810.04"/>
    <n v="-6.7785826437191377"/>
    <x v="3"/>
    <n v="2023"/>
  </r>
  <r>
    <n v="1058"/>
    <d v="2023-03-02T00:00:00"/>
    <s v="Eve"/>
    <x v="3"/>
    <n v="5463.43"/>
    <n v="49"/>
    <x v="0"/>
    <n v="1307.22"/>
    <n v="1528.4"/>
    <s v="Returning"/>
    <n v="0.24"/>
    <s v="Cash"/>
    <s v="Retail"/>
    <x v="14"/>
    <n v="64053.78"/>
    <n v="-58590.35"/>
    <n v="-10.724096400978871"/>
    <x v="4"/>
    <n v="2023"/>
  </r>
  <r>
    <n v="1039"/>
    <d v="2023-06-27T00:00:00"/>
    <s v="Bob"/>
    <x v="3"/>
    <n v="9683.85"/>
    <n v="2"/>
    <x v="3"/>
    <n v="4394.58"/>
    <n v="4545.78"/>
    <s v="Returning"/>
    <n v="0.2"/>
    <s v="Credit Card"/>
    <s v="Retail"/>
    <x v="12"/>
    <n v="8789.16"/>
    <n v="894.69000000000051"/>
    <n v="9.2389906906860442E-2"/>
    <x v="6"/>
    <n v="2023"/>
  </r>
  <r>
    <n v="1014"/>
    <d v="2023-12-04T00:00:00"/>
    <s v="Bob"/>
    <x v="1"/>
    <n v="758.99"/>
    <n v="49"/>
    <x v="0"/>
    <n v="493.35"/>
    <n v="799.27"/>
    <s v="New"/>
    <n v="0.1"/>
    <s v="Bank Transfer"/>
    <s v="Online"/>
    <x v="1"/>
    <n v="24174.15"/>
    <n v="-23415.16"/>
    <n v="-30.850419636622352"/>
    <x v="9"/>
    <n v="2023"/>
  </r>
  <r>
    <n v="1095"/>
    <d v="2023-03-03T00:00:00"/>
    <s v="Eve"/>
    <x v="3"/>
    <n v="6518.35"/>
    <n v="16"/>
    <x v="3"/>
    <n v="3591.05"/>
    <n v="3625.35"/>
    <s v="Returning"/>
    <n v="0.05"/>
    <s v="Credit Card"/>
    <s v="Retail"/>
    <x v="14"/>
    <n v="57456.800000000003"/>
    <n v="-50938.450000000004"/>
    <n v="-7.8146233325918368"/>
    <x v="4"/>
    <n v="2023"/>
  </r>
  <r>
    <n v="1005"/>
    <d v="2023-05-25T00:00:00"/>
    <s v="Eve"/>
    <x v="0"/>
    <n v="833.64"/>
    <n v="2"/>
    <x v="2"/>
    <n v="1392.15"/>
    <n v="1448.54"/>
    <s v="Returning"/>
    <n v="0.02"/>
    <s v="Bank Transfer"/>
    <s v="Retail"/>
    <x v="7"/>
    <n v="2784.3"/>
    <n v="-1950.6600000000003"/>
    <n v="-2.3399309054268032"/>
    <x v="10"/>
    <n v="2023"/>
  </r>
  <r>
    <n v="1035"/>
    <d v="2023-08-04T00:00:00"/>
    <s v="David"/>
    <x v="2"/>
    <n v="3817.14"/>
    <n v="30"/>
    <x v="3"/>
    <n v="3813.62"/>
    <n v="3839.72"/>
    <s v="New"/>
    <n v="0.21"/>
    <s v="Credit Card"/>
    <s v="Online"/>
    <x v="2"/>
    <n v="114408.59999999999"/>
    <n v="-110591.45999999999"/>
    <n v="-28.972335308634211"/>
    <x v="3"/>
    <n v="2023"/>
  </r>
  <r>
    <n v="1087"/>
    <d v="2023-01-03T00:00:00"/>
    <s v="Charlie"/>
    <x v="3"/>
    <n v="8057.76"/>
    <n v="20"/>
    <x v="0"/>
    <n v="3625.94"/>
    <n v="3880.53"/>
    <s v="New"/>
    <n v="0.24"/>
    <s v="Bank Transfer"/>
    <s v="Online"/>
    <x v="4"/>
    <n v="72518.8"/>
    <n v="-64461.04"/>
    <n v="-7.999870931871885"/>
    <x v="5"/>
    <n v="2023"/>
  </r>
  <r>
    <n v="1093"/>
    <d v="2023-06-09T00:00:00"/>
    <s v="Bob"/>
    <x v="2"/>
    <n v="4391.38"/>
    <n v="38"/>
    <x v="1"/>
    <n v="86.59"/>
    <n v="390.89"/>
    <s v="Returning"/>
    <n v="0.25"/>
    <s v="Credit Card"/>
    <s v="Online"/>
    <x v="3"/>
    <n v="3290.42"/>
    <n v="1100.96"/>
    <n v="0.25070934421525809"/>
    <x v="6"/>
    <n v="2023"/>
  </r>
  <r>
    <n v="1075"/>
    <d v="2023-08-15T00:00:00"/>
    <s v="Charlie"/>
    <x v="0"/>
    <n v="9972.11"/>
    <n v="28"/>
    <x v="2"/>
    <n v="2570.2199999999998"/>
    <n v="2610.8399999999901"/>
    <s v="Returning"/>
    <n v="0.27"/>
    <s v="Bank Transfer"/>
    <s v="Retail"/>
    <x v="19"/>
    <n v="71966.159999999989"/>
    <n v="-61994.049999999988"/>
    <n v="-6.2167434976148463"/>
    <x v="3"/>
    <n v="2023"/>
  </r>
  <r>
    <n v="1018"/>
    <d v="2023-09-26T00:00:00"/>
    <s v="David"/>
    <x v="3"/>
    <n v="5634.69"/>
    <n v="25"/>
    <x v="0"/>
    <n v="739.63"/>
    <n v="1103.03"/>
    <s v="New"/>
    <n v="0.26"/>
    <s v="Bank Transfer"/>
    <s v="Retail"/>
    <x v="16"/>
    <n v="18490.75"/>
    <n v="-12856.060000000001"/>
    <n v="-2.281591356401151"/>
    <x v="2"/>
    <n v="2023"/>
  </r>
  <r>
    <n v="1076"/>
    <d v="2023-04-30T00:00:00"/>
    <s v="Eve"/>
    <x v="1"/>
    <n v="3279.51"/>
    <n v="32"/>
    <x v="2"/>
    <n v="4337.82"/>
    <n v="4460.71"/>
    <s v="Returning"/>
    <n v="0.3"/>
    <s v="Cash"/>
    <s v="Retail"/>
    <x v="8"/>
    <n v="138810.23999999999"/>
    <n v="-135530.72999999998"/>
    <n v="-41.326518290842223"/>
    <x v="1"/>
    <n v="2023"/>
  </r>
  <r>
    <n v="1009"/>
    <d v="2023-03-30T00:00:00"/>
    <s v="Charlie"/>
    <x v="2"/>
    <n v="2279.1"/>
    <n v="10"/>
    <x v="2"/>
    <n v="4364.3500000000004"/>
    <n v="4710.1000000000004"/>
    <s v="New"/>
    <n v="7.0000000000000007E-2"/>
    <s v="Credit Card"/>
    <s v="Online"/>
    <x v="10"/>
    <n v="43643.5"/>
    <n v="-41364.400000000001"/>
    <n v="-18.149444956342418"/>
    <x v="4"/>
    <n v="2023"/>
  </r>
  <r>
    <n v="1074"/>
    <d v="2023-11-25T00:00:00"/>
    <s v="Eve"/>
    <x v="0"/>
    <n v="3570.15"/>
    <n v="42"/>
    <x v="0"/>
    <n v="2120.81"/>
    <n v="2611.94"/>
    <s v="Returning"/>
    <n v="0.23"/>
    <s v="Cash"/>
    <s v="Online"/>
    <x v="7"/>
    <n v="89074.02"/>
    <n v="-85503.87000000001"/>
    <n v="-23.949657577412715"/>
    <x v="8"/>
    <n v="2023"/>
  </r>
  <r>
    <n v="1058"/>
    <d v="2023-03-09T00:00:00"/>
    <s v="Eve"/>
    <x v="2"/>
    <n v="3788.08"/>
    <n v="40"/>
    <x v="0"/>
    <n v="2249.7600000000002"/>
    <n v="2598.4"/>
    <s v="Returning"/>
    <n v="0.18"/>
    <s v="Credit Card"/>
    <s v="Retail"/>
    <x v="6"/>
    <n v="89990.400000000009"/>
    <n v="-86202.32"/>
    <n v="-22.756203670461026"/>
    <x v="4"/>
    <n v="2023"/>
  </r>
  <r>
    <n v="1017"/>
    <d v="2023-12-23T00:00:00"/>
    <s v="Alice"/>
    <x v="3"/>
    <n v="780.27"/>
    <n v="33"/>
    <x v="1"/>
    <n v="1551.25"/>
    <n v="1994.01"/>
    <s v="Returning"/>
    <n v="0.08"/>
    <s v="Cash"/>
    <s v="Online"/>
    <x v="18"/>
    <n v="51191.25"/>
    <n v="-50410.98"/>
    <n v="-64.607097543158147"/>
    <x v="9"/>
    <n v="2023"/>
  </r>
  <r>
    <n v="1007"/>
    <d v="2023-04-08T00:00:00"/>
    <s v="Charlie"/>
    <x v="3"/>
    <n v="3758.78"/>
    <n v="13"/>
    <x v="2"/>
    <n v="3597.2"/>
    <n v="4071.8199999999902"/>
    <s v="Returning"/>
    <n v="0.28999999999999998"/>
    <s v="Bank Transfer"/>
    <s v="Online"/>
    <x v="4"/>
    <n v="46763.6"/>
    <n v="-43004.82"/>
    <n v="-11.441164420370439"/>
    <x v="1"/>
    <n v="2023"/>
  </r>
  <r>
    <n v="1046"/>
    <d v="2023-09-24T00:00:00"/>
    <s v="Charlie"/>
    <x v="1"/>
    <n v="4695.96"/>
    <n v="41"/>
    <x v="2"/>
    <n v="1825.37"/>
    <n v="2073.88"/>
    <s v="Returning"/>
    <n v="0.27"/>
    <s v="Cash"/>
    <s v="Retail"/>
    <x v="5"/>
    <n v="74840.17"/>
    <n v="-70144.209999999992"/>
    <n v="-14.937139583812467"/>
    <x v="2"/>
    <n v="2023"/>
  </r>
  <r>
    <n v="1013"/>
    <d v="2023-04-15T00:00:00"/>
    <s v="Eve"/>
    <x v="0"/>
    <n v="7255.1"/>
    <n v="42"/>
    <x v="0"/>
    <n v="1375.57"/>
    <n v="1729.71"/>
    <s v="New"/>
    <n v="0.04"/>
    <s v="Cash"/>
    <s v="Online"/>
    <x v="7"/>
    <n v="57773.939999999995"/>
    <n v="-50518.84"/>
    <n v="-6.9632175986547384"/>
    <x v="1"/>
    <n v="2023"/>
  </r>
  <r>
    <n v="1040"/>
    <d v="2023-11-19T00:00:00"/>
    <s v="David"/>
    <x v="0"/>
    <n v="6601.62"/>
    <n v="47"/>
    <x v="3"/>
    <n v="2189.54"/>
    <n v="2617"/>
    <s v="New"/>
    <n v="0.01"/>
    <s v="Bank Transfer"/>
    <s v="Online"/>
    <x v="11"/>
    <n v="102908.38"/>
    <n v="-96306.760000000009"/>
    <n v="-14.588352555887798"/>
    <x v="8"/>
    <n v="2023"/>
  </r>
  <r>
    <n v="1042"/>
    <d v="2023-05-03T00:00:00"/>
    <s v="Alice"/>
    <x v="1"/>
    <n v="7116.78"/>
    <n v="37"/>
    <x v="0"/>
    <n v="502.86"/>
    <n v="687.6"/>
    <s v="Returning"/>
    <n v="0.21"/>
    <s v="Cash"/>
    <s v="Online"/>
    <x v="17"/>
    <n v="18605.82"/>
    <n v="-11489.04"/>
    <n v="-1.6143593029431851"/>
    <x v="10"/>
    <n v="2023"/>
  </r>
  <r>
    <n v="1009"/>
    <d v="2023-01-29T00:00:00"/>
    <s v="Eve"/>
    <x v="1"/>
    <n v="182.8"/>
    <n v="16"/>
    <x v="2"/>
    <n v="3745.69"/>
    <n v="3883.77"/>
    <s v="Returning"/>
    <n v="0.18"/>
    <s v="Bank Transfer"/>
    <s v="Retail"/>
    <x v="8"/>
    <n v="59931.040000000001"/>
    <n v="-59748.24"/>
    <n v="-326.85032822757108"/>
    <x v="5"/>
    <n v="2023"/>
  </r>
  <r>
    <n v="1050"/>
    <d v="2023-05-17T00:00:00"/>
    <s v="Bob"/>
    <x v="0"/>
    <n v="2254.91"/>
    <n v="45"/>
    <x v="0"/>
    <n v="112.35"/>
    <n v="586.17999999999995"/>
    <s v="Returning"/>
    <n v="0.28000000000000003"/>
    <s v="Credit Card"/>
    <s v="Retail"/>
    <x v="0"/>
    <n v="5055.75"/>
    <n v="-2800.84"/>
    <n v="-1.2421072237916371"/>
    <x v="10"/>
    <n v="2023"/>
  </r>
  <r>
    <n v="1027"/>
    <d v="2023-07-14T00:00:00"/>
    <s v="Bob"/>
    <x v="2"/>
    <n v="6650.67"/>
    <n v="22"/>
    <x v="1"/>
    <n v="3240.2"/>
    <n v="3606.0899999999901"/>
    <s v="New"/>
    <n v="7.0000000000000007E-2"/>
    <s v="Cash"/>
    <s v="Online"/>
    <x v="3"/>
    <n v="71284.399999999994"/>
    <n v="-64633.729999999996"/>
    <n v="-9.718378749810169"/>
    <x v="11"/>
    <n v="2023"/>
  </r>
  <r>
    <n v="1066"/>
    <d v="2023-08-14T00:00:00"/>
    <s v="Alice"/>
    <x v="2"/>
    <n v="4891.49"/>
    <n v="20"/>
    <x v="3"/>
    <n v="955.18"/>
    <n v="1072.82"/>
    <s v="New"/>
    <n v="0.03"/>
    <s v="Bank Transfer"/>
    <s v="Retail"/>
    <x v="9"/>
    <n v="19103.599999999999"/>
    <n v="-14212.109999999999"/>
    <n v="-2.9054766543527637"/>
    <x v="3"/>
    <n v="2023"/>
  </r>
  <r>
    <n v="1005"/>
    <d v="2023-11-28T00:00:00"/>
    <s v="David"/>
    <x v="1"/>
    <n v="152.6"/>
    <n v="43"/>
    <x v="0"/>
    <n v="1200.4000000000001"/>
    <n v="1430.45"/>
    <s v="New"/>
    <n v="0.08"/>
    <s v="Bank Transfer"/>
    <s v="Retail"/>
    <x v="13"/>
    <n v="51617.200000000004"/>
    <n v="-51464.600000000006"/>
    <n v="-337.25163826998693"/>
    <x v="8"/>
    <n v="2023"/>
  </r>
  <r>
    <n v="1029"/>
    <d v="2023-06-19T00:00:00"/>
    <s v="Eve"/>
    <x v="2"/>
    <n v="8064.5"/>
    <n v="27"/>
    <x v="1"/>
    <n v="3196.38"/>
    <n v="3596.64"/>
    <s v="New"/>
    <n v="0.01"/>
    <s v="Cash"/>
    <s v="Retail"/>
    <x v="6"/>
    <n v="86302.260000000009"/>
    <n v="-78237.760000000009"/>
    <n v="-9.7015016430032865"/>
    <x v="6"/>
    <n v="2023"/>
  </r>
  <r>
    <n v="1037"/>
    <d v="2023-01-09T00:00:00"/>
    <s v="Charlie"/>
    <x v="0"/>
    <n v="7750.81"/>
    <n v="41"/>
    <x v="2"/>
    <n v="4965.07"/>
    <n v="5243.13"/>
    <s v="New"/>
    <n v="0.01"/>
    <s v="Credit Card"/>
    <s v="Online"/>
    <x v="19"/>
    <n v="203567.87"/>
    <n v="-195817.06"/>
    <n v="-25.264076915832021"/>
    <x v="5"/>
    <n v="2023"/>
  </r>
  <r>
    <n v="1038"/>
    <d v="2023-02-09T00:00:00"/>
    <s v="Alice"/>
    <x v="3"/>
    <n v="5529.35"/>
    <n v="16"/>
    <x v="0"/>
    <n v="3899.7"/>
    <n v="4228.18"/>
    <s v="New"/>
    <n v="0.27"/>
    <s v="Cash"/>
    <s v="Retail"/>
    <x v="18"/>
    <n v="62395.199999999997"/>
    <n v="-56865.85"/>
    <n v="-10.28436434662302"/>
    <x v="0"/>
    <n v="2023"/>
  </r>
  <r>
    <n v="1083"/>
    <d v="2023-01-25T00:00:00"/>
    <s v="David"/>
    <x v="3"/>
    <n v="757.99"/>
    <n v="34"/>
    <x v="2"/>
    <n v="1167.9100000000001"/>
    <n v="1547.26"/>
    <s v="New"/>
    <n v="0.11"/>
    <s v="Bank Transfer"/>
    <s v="Online"/>
    <x v="16"/>
    <n v="39708.94"/>
    <n v="-38950.950000000004"/>
    <n v="-51.387155503370764"/>
    <x v="5"/>
    <n v="2023"/>
  </r>
  <r>
    <n v="1008"/>
    <d v="2023-09-18T00:00:00"/>
    <s v="Charlie"/>
    <x v="2"/>
    <n v="7688.5"/>
    <n v="32"/>
    <x v="1"/>
    <n v="921.32"/>
    <n v="1236.0999999999999"/>
    <s v="New"/>
    <n v="0.12"/>
    <s v="Credit Card"/>
    <s v="Online"/>
    <x v="10"/>
    <n v="29482.240000000002"/>
    <n v="-21793.74"/>
    <n v="-2.8345893217142488"/>
    <x v="2"/>
    <n v="2023"/>
  </r>
  <r>
    <n v="1065"/>
    <d v="2023-08-14T00:00:00"/>
    <s v="Bob"/>
    <x v="1"/>
    <n v="5878.76"/>
    <n v="26"/>
    <x v="2"/>
    <n v="4337.8500000000004"/>
    <n v="4612.49"/>
    <s v="Returning"/>
    <n v="0.01"/>
    <s v="Cash"/>
    <s v="Retail"/>
    <x v="1"/>
    <n v="112784.1"/>
    <n v="-106905.34000000001"/>
    <n v="-18.185015207288615"/>
    <x v="3"/>
    <n v="2023"/>
  </r>
  <r>
    <n v="1086"/>
    <d v="2023-05-04T00:00:00"/>
    <s v="Bob"/>
    <x v="1"/>
    <n v="7841.4"/>
    <n v="25"/>
    <x v="1"/>
    <n v="2248.71"/>
    <n v="2626.02"/>
    <s v="New"/>
    <n v="0.08"/>
    <s v="Bank Transfer"/>
    <s v="Online"/>
    <x v="1"/>
    <n v="56217.75"/>
    <n v="-48376.35"/>
    <n v="-6.1693511362766857"/>
    <x v="10"/>
    <n v="2023"/>
  </r>
  <r>
    <n v="1017"/>
    <d v="2023-02-07T00:00:00"/>
    <s v="Charlie"/>
    <x v="1"/>
    <n v="7542.3"/>
    <n v="2"/>
    <x v="1"/>
    <n v="728.41"/>
    <n v="1094.92"/>
    <s v="New"/>
    <n v="0.24"/>
    <s v="Cash"/>
    <s v="Retail"/>
    <x v="5"/>
    <n v="1456.82"/>
    <n v="6085.4800000000005"/>
    <n v="0.80684671784468931"/>
    <x v="0"/>
    <n v="2023"/>
  </r>
  <r>
    <n v="1071"/>
    <d v="2023-11-24T00:00:00"/>
    <s v="Alice"/>
    <x v="1"/>
    <n v="8049.72"/>
    <n v="12"/>
    <x v="1"/>
    <n v="4317.95"/>
    <n v="4636.59"/>
    <s v="New"/>
    <n v="0.18"/>
    <s v="Credit Card"/>
    <s v="Retail"/>
    <x v="17"/>
    <n v="51815.399999999994"/>
    <n v="-43765.679999999993"/>
    <n v="-5.436919545027652"/>
    <x v="8"/>
    <n v="2023"/>
  </r>
  <r>
    <n v="1089"/>
    <d v="2023-09-08T00:00:00"/>
    <s v="Bob"/>
    <x v="1"/>
    <n v="5228.28"/>
    <n v="40"/>
    <x v="0"/>
    <n v="4089.66"/>
    <n v="4275.96"/>
    <s v="New"/>
    <n v="0.23"/>
    <s v="Credit Card"/>
    <s v="Online"/>
    <x v="1"/>
    <n v="163586.4"/>
    <n v="-158358.12"/>
    <n v="-30.28876035713466"/>
    <x v="2"/>
    <n v="2023"/>
  </r>
  <r>
    <n v="1045"/>
    <d v="2023-06-25T00:00:00"/>
    <s v="Eve"/>
    <x v="2"/>
    <n v="1489.21"/>
    <n v="9"/>
    <x v="2"/>
    <n v="4920.34"/>
    <n v="5129.1899999999996"/>
    <s v="Returning"/>
    <n v="0.13"/>
    <s v="Credit Card"/>
    <s v="Online"/>
    <x v="6"/>
    <n v="44283.06"/>
    <n v="-42793.85"/>
    <n v="-28.735940532228494"/>
    <x v="6"/>
    <n v="2023"/>
  </r>
  <r>
    <n v="1004"/>
    <d v="2023-03-31T00:00:00"/>
    <s v="Charlie"/>
    <x v="3"/>
    <n v="6744.46"/>
    <n v="12"/>
    <x v="2"/>
    <n v="4553.2299999999996"/>
    <n v="5038.74"/>
    <s v="New"/>
    <n v="0.09"/>
    <s v="Credit Card"/>
    <s v="Retail"/>
    <x v="4"/>
    <n v="54638.759999999995"/>
    <n v="-47894.299999999996"/>
    <n v="-7.1012801617920482"/>
    <x v="4"/>
    <n v="2023"/>
  </r>
  <r>
    <n v="1036"/>
    <d v="2023-02-06T00:00:00"/>
    <s v="Charlie"/>
    <x v="3"/>
    <n v="6242.69"/>
    <n v="26"/>
    <x v="3"/>
    <n v="4266.3599999999997"/>
    <n v="4331.4299999999903"/>
    <s v="Returning"/>
    <n v="0.14000000000000001"/>
    <s v="Credit Card"/>
    <s v="Retail"/>
    <x v="4"/>
    <n v="110925.35999999999"/>
    <n v="-104682.66999999998"/>
    <n v="-16.768840035305292"/>
    <x v="0"/>
    <n v="2023"/>
  </r>
  <r>
    <n v="1070"/>
    <d v="2023-11-12T00:00:00"/>
    <s v="Bob"/>
    <x v="2"/>
    <n v="7448.31"/>
    <n v="9"/>
    <x v="3"/>
    <n v="310.24"/>
    <n v="451.81"/>
    <s v="Returning"/>
    <n v="0.1"/>
    <s v="Cash"/>
    <s v="Retail"/>
    <x v="3"/>
    <n v="2792.16"/>
    <n v="4656.1500000000005"/>
    <n v="0.62512838482823629"/>
    <x v="8"/>
    <n v="2023"/>
  </r>
  <r>
    <n v="1031"/>
    <d v="2023-06-25T00:00:00"/>
    <s v="Alice"/>
    <x v="1"/>
    <n v="1781.82"/>
    <n v="10"/>
    <x v="3"/>
    <n v="566.86"/>
    <n v="818.14"/>
    <s v="Returning"/>
    <n v="0.25"/>
    <s v="Credit Card"/>
    <s v="Retail"/>
    <x v="17"/>
    <n v="5668.6"/>
    <n v="-3886.7800000000007"/>
    <n v="-2.1813538965776571"/>
    <x v="6"/>
    <n v="2023"/>
  </r>
  <r>
    <n v="1019"/>
    <d v="2023-10-11T00:00:00"/>
    <s v="Eve"/>
    <x v="2"/>
    <n v="2030.25"/>
    <n v="32"/>
    <x v="3"/>
    <n v="2866.47"/>
    <n v="3286.47"/>
    <s v="New"/>
    <n v="0.09"/>
    <s v="Credit Card"/>
    <s v="Online"/>
    <x v="6"/>
    <n v="91727.039999999994"/>
    <n v="-89696.79"/>
    <n v="-44.180169929811598"/>
    <x v="7"/>
    <n v="2023"/>
  </r>
  <r>
    <n v="1061"/>
    <d v="2023-03-22T00:00:00"/>
    <s v="Alice"/>
    <x v="3"/>
    <n v="8915.0499999999993"/>
    <n v="34"/>
    <x v="2"/>
    <n v="2680.82"/>
    <n v="2771.02"/>
    <s v="New"/>
    <n v="0.2"/>
    <s v="Bank Transfer"/>
    <s v="Online"/>
    <x v="18"/>
    <n v="91147.88"/>
    <n v="-82232.83"/>
    <n v="-9.2240458550428777"/>
    <x v="4"/>
    <n v="2023"/>
  </r>
  <r>
    <n v="1054"/>
    <d v="2023-04-24T00:00:00"/>
    <s v="David"/>
    <x v="0"/>
    <n v="7524.78"/>
    <n v="48"/>
    <x v="1"/>
    <n v="2316.92"/>
    <n v="2462.63"/>
    <s v="New"/>
    <n v="0.04"/>
    <s v="Credit Card"/>
    <s v="Online"/>
    <x v="11"/>
    <n v="111212.16"/>
    <n v="-103687.38"/>
    <n v="-13.779456675145321"/>
    <x v="1"/>
    <n v="2023"/>
  </r>
  <r>
    <n v="1039"/>
    <d v="2023-02-09T00:00:00"/>
    <s v="David"/>
    <x v="2"/>
    <n v="9091.4599999999991"/>
    <n v="20"/>
    <x v="1"/>
    <n v="2014.11"/>
    <n v="2056.35"/>
    <s v="Returning"/>
    <n v="0.21"/>
    <s v="Bank Transfer"/>
    <s v="Retail"/>
    <x v="2"/>
    <n v="40282.199999999997"/>
    <n v="-31190.739999999998"/>
    <n v="-3.4307734951261954"/>
    <x v="0"/>
    <n v="2023"/>
  </r>
  <r>
    <n v="1091"/>
    <d v="2023-10-28T00:00:00"/>
    <s v="Bob"/>
    <x v="1"/>
    <n v="7611.28"/>
    <n v="39"/>
    <x v="0"/>
    <n v="2184.4899999999998"/>
    <n v="2540.4199999999901"/>
    <s v="Returning"/>
    <n v="0.27"/>
    <s v="Bank Transfer"/>
    <s v="Online"/>
    <x v="1"/>
    <n v="85195.109999999986"/>
    <n v="-77583.829999999987"/>
    <n v="-10.19326972598564"/>
    <x v="7"/>
    <n v="2023"/>
  </r>
  <r>
    <n v="1074"/>
    <d v="2023-08-12T00:00:00"/>
    <s v="Bob"/>
    <x v="3"/>
    <n v="6011.84"/>
    <n v="2"/>
    <x v="1"/>
    <n v="2868.02"/>
    <n v="2994.74"/>
    <s v="Returning"/>
    <n v="0.18"/>
    <s v="Bank Transfer"/>
    <s v="Online"/>
    <x v="12"/>
    <n v="5736.04"/>
    <n v="275.80000000000018"/>
    <n v="4.5876137754830494E-2"/>
    <x v="3"/>
    <n v="2023"/>
  </r>
  <r>
    <n v="1090"/>
    <d v="2023-11-14T00:00:00"/>
    <s v="Bob"/>
    <x v="3"/>
    <n v="6575.91"/>
    <n v="1"/>
    <x v="2"/>
    <n v="60.28"/>
    <n v="260.73"/>
    <s v="Returning"/>
    <n v="0.17"/>
    <s v="Cash"/>
    <s v="Online"/>
    <x v="12"/>
    <n v="60.28"/>
    <n v="6515.63"/>
    <n v="0.99083320787541196"/>
    <x v="8"/>
    <n v="2023"/>
  </r>
  <r>
    <n v="1019"/>
    <d v="2023-12-15T00:00:00"/>
    <s v="David"/>
    <x v="3"/>
    <n v="8902.3700000000008"/>
    <n v="36"/>
    <x v="2"/>
    <n v="1340.51"/>
    <n v="1567.92"/>
    <s v="New"/>
    <n v="0.28999999999999998"/>
    <s v="Cash"/>
    <s v="Online"/>
    <x v="16"/>
    <n v="48258.36"/>
    <n v="-39355.99"/>
    <n v="-4.4208441122981847"/>
    <x v="9"/>
    <n v="2023"/>
  </r>
  <r>
    <n v="1039"/>
    <d v="2023-04-25T00:00:00"/>
    <s v="Alice"/>
    <x v="3"/>
    <n v="5830.19"/>
    <n v="24"/>
    <x v="2"/>
    <n v="2615.48"/>
    <n v="3062.22"/>
    <s v="New"/>
    <n v="0.19"/>
    <s v="Bank Transfer"/>
    <s v="Retail"/>
    <x v="18"/>
    <n v="62771.520000000004"/>
    <n v="-56941.33"/>
    <n v="-9.7666336774616269"/>
    <x v="1"/>
    <n v="2023"/>
  </r>
  <r>
    <n v="1067"/>
    <d v="2023-07-05T00:00:00"/>
    <s v="Alice"/>
    <x v="1"/>
    <n v="6360.67"/>
    <n v="27"/>
    <x v="0"/>
    <n v="3624.97"/>
    <n v="3836.52"/>
    <s v="New"/>
    <n v="0.08"/>
    <s v="Cash"/>
    <s v="Online"/>
    <x v="17"/>
    <n v="97874.189999999988"/>
    <n v="-91513.51999999999"/>
    <n v="-14.387402584947811"/>
    <x v="11"/>
    <n v="2023"/>
  </r>
  <r>
    <n v="1045"/>
    <d v="2023-11-19T00:00:00"/>
    <s v="Bob"/>
    <x v="0"/>
    <n v="1649.12"/>
    <n v="2"/>
    <x v="3"/>
    <n v="912.08"/>
    <n v="993.24"/>
    <s v="Returning"/>
    <n v="0.09"/>
    <s v="Credit Card"/>
    <s v="Online"/>
    <x v="0"/>
    <n v="1824.16"/>
    <n v="-175.04000000000019"/>
    <n v="-0.10614145726205504"/>
    <x v="8"/>
    <n v="2023"/>
  </r>
  <r>
    <n v="1013"/>
    <d v="2023-02-25T00:00:00"/>
    <s v="Eve"/>
    <x v="3"/>
    <n v="4791.82"/>
    <n v="31"/>
    <x v="1"/>
    <n v="2757.06"/>
    <n v="3023.97"/>
    <s v="Returning"/>
    <n v="0.21"/>
    <s v="Cash"/>
    <s v="Online"/>
    <x v="14"/>
    <n v="85468.86"/>
    <n v="-80677.040000000008"/>
    <n v="-16.836408713182049"/>
    <x v="0"/>
    <n v="2023"/>
  </r>
  <r>
    <n v="1092"/>
    <d v="2023-02-09T00:00:00"/>
    <s v="Alice"/>
    <x v="2"/>
    <n v="7192.33"/>
    <n v="14"/>
    <x v="2"/>
    <n v="3586.58"/>
    <n v="4068.43"/>
    <s v="New"/>
    <n v="0.22"/>
    <s v="Credit Card"/>
    <s v="Online"/>
    <x v="9"/>
    <n v="50212.119999999995"/>
    <n v="-43019.789999999994"/>
    <n v="-5.9813426247127142"/>
    <x v="0"/>
    <n v="2023"/>
  </r>
  <r>
    <n v="1058"/>
    <d v="2023-12-20T00:00:00"/>
    <s v="David"/>
    <x v="0"/>
    <n v="2782.33"/>
    <n v="2"/>
    <x v="2"/>
    <n v="2250.91"/>
    <n v="2558.6799999999998"/>
    <s v="New"/>
    <n v="0.09"/>
    <s v="Credit Card"/>
    <s v="Retail"/>
    <x v="11"/>
    <n v="4501.82"/>
    <n v="-1719.4899999999998"/>
    <n v="-0.61800361567463236"/>
    <x v="9"/>
    <n v="2023"/>
  </r>
  <r>
    <n v="1020"/>
    <d v="2023-02-09T00:00:00"/>
    <s v="Charlie"/>
    <x v="3"/>
    <n v="2102.3200000000002"/>
    <n v="29"/>
    <x v="3"/>
    <n v="184.05"/>
    <n v="675.91"/>
    <s v="Returning"/>
    <n v="0.1"/>
    <s v="Cash"/>
    <s v="Retail"/>
    <x v="4"/>
    <n v="5337.4500000000007"/>
    <n v="-3235.1300000000006"/>
    <n v="-1.5388380455877317"/>
    <x v="0"/>
    <n v="2023"/>
  </r>
  <r>
    <n v="1092"/>
    <d v="2023-12-13T00:00:00"/>
    <s v="Charlie"/>
    <x v="0"/>
    <n v="3206.89"/>
    <n v="15"/>
    <x v="2"/>
    <n v="2273.88"/>
    <n v="2696.02"/>
    <s v="New"/>
    <n v="0.3"/>
    <s v="Cash"/>
    <s v="Online"/>
    <x v="19"/>
    <n v="34108.200000000004"/>
    <n v="-30901.310000000005"/>
    <n v="-9.6359120518633343"/>
    <x v="9"/>
    <n v="2023"/>
  </r>
  <r>
    <n v="1072"/>
    <d v="2023-08-25T00:00:00"/>
    <s v="Charlie"/>
    <x v="2"/>
    <n v="2490.86"/>
    <n v="12"/>
    <x v="1"/>
    <n v="1517.4"/>
    <n v="1545.02"/>
    <s v="New"/>
    <n v="0.03"/>
    <s v="Bank Transfer"/>
    <s v="Retail"/>
    <x v="10"/>
    <n v="18208.800000000003"/>
    <n v="-15717.940000000002"/>
    <n v="-6.3102462603277587"/>
    <x v="3"/>
    <n v="2023"/>
  </r>
  <r>
    <n v="1061"/>
    <d v="2023-10-16T00:00:00"/>
    <s v="Eve"/>
    <x v="3"/>
    <n v="2227.64"/>
    <n v="37"/>
    <x v="0"/>
    <n v="4651.7700000000004"/>
    <n v="4984.3900000000003"/>
    <s v="Returning"/>
    <n v="0.12"/>
    <s v="Cash"/>
    <s v="Retail"/>
    <x v="14"/>
    <n v="172115.49000000002"/>
    <n v="-169887.85"/>
    <n v="-76.263601838717221"/>
    <x v="7"/>
    <n v="2023"/>
  </r>
  <r>
    <n v="1039"/>
    <d v="2023-09-19T00:00:00"/>
    <s v="Bob"/>
    <x v="2"/>
    <n v="4306.0200000000004"/>
    <n v="28"/>
    <x v="2"/>
    <n v="666.84"/>
    <n v="817.36"/>
    <s v="Returning"/>
    <n v="0.02"/>
    <s v="Cash"/>
    <s v="Retail"/>
    <x v="3"/>
    <n v="18671.52"/>
    <n v="-14365.5"/>
    <n v="-3.3361433527944597"/>
    <x v="2"/>
    <n v="2023"/>
  </r>
  <r>
    <n v="1001"/>
    <d v="2023-08-04T00:00:00"/>
    <s v="David"/>
    <x v="1"/>
    <n v="9087.6"/>
    <n v="20"/>
    <x v="1"/>
    <n v="3279.76"/>
    <n v="3563.97"/>
    <s v="Returning"/>
    <n v="0.25"/>
    <s v="Cash"/>
    <s v="Retail"/>
    <x v="13"/>
    <n v="65595.200000000012"/>
    <n v="-56507.600000000013"/>
    <n v="-6.2180993881772979"/>
    <x v="3"/>
    <n v="2023"/>
  </r>
  <r>
    <n v="1003"/>
    <d v="2023-05-27T00:00:00"/>
    <s v="Eve"/>
    <x v="3"/>
    <n v="5119.8900000000003"/>
    <n v="39"/>
    <x v="2"/>
    <n v="310.95999999999998"/>
    <n v="457.84"/>
    <s v="New"/>
    <n v="0.03"/>
    <s v="Credit Card"/>
    <s v="Online"/>
    <x v="14"/>
    <n v="12127.439999999999"/>
    <n v="-7007.5499999999984"/>
    <n v="-1.368691514856764"/>
    <x v="10"/>
    <n v="2023"/>
  </r>
  <r>
    <n v="1077"/>
    <d v="2023-12-02T00:00:00"/>
    <s v="David"/>
    <x v="3"/>
    <n v="1960.41"/>
    <n v="24"/>
    <x v="3"/>
    <n v="2258.54"/>
    <n v="2439.4899999999998"/>
    <s v="Returning"/>
    <n v="0.2"/>
    <s v="Credit Card"/>
    <s v="Retail"/>
    <x v="16"/>
    <n v="54204.959999999999"/>
    <n v="-52244.549999999996"/>
    <n v="-26.649807948337333"/>
    <x v="9"/>
    <n v="2023"/>
  </r>
  <r>
    <n v="1092"/>
    <d v="2023-06-17T00:00:00"/>
    <s v="David"/>
    <x v="3"/>
    <n v="862.02"/>
    <n v="21"/>
    <x v="2"/>
    <n v="2792.2"/>
    <n v="3254.5499999999902"/>
    <s v="New"/>
    <n v="0.02"/>
    <s v="Credit Card"/>
    <s v="Retail"/>
    <x v="16"/>
    <n v="58636.2"/>
    <n v="-57774.18"/>
    <n v="-67.021855641400435"/>
    <x v="6"/>
    <n v="2023"/>
  </r>
  <r>
    <n v="1062"/>
    <d v="2023-04-02T00:00:00"/>
    <s v="Bob"/>
    <x v="3"/>
    <n v="6991.95"/>
    <n v="10"/>
    <x v="2"/>
    <n v="1524.88"/>
    <n v="1636.14"/>
    <s v="New"/>
    <n v="0.2"/>
    <s v="Bank Transfer"/>
    <s v="Online"/>
    <x v="12"/>
    <n v="15248.800000000001"/>
    <n v="-8256.8500000000022"/>
    <n v="-1.1809080442508888"/>
    <x v="1"/>
    <n v="2023"/>
  </r>
  <r>
    <n v="1063"/>
    <d v="2023-12-19T00:00:00"/>
    <s v="Charlie"/>
    <x v="1"/>
    <n v="3889.71"/>
    <n v="46"/>
    <x v="0"/>
    <n v="2302.62"/>
    <n v="2740.93"/>
    <s v="Returning"/>
    <n v="0.25"/>
    <s v="Bank Transfer"/>
    <s v="Online"/>
    <x v="5"/>
    <n v="105920.51999999999"/>
    <n v="-102030.80999999998"/>
    <n v="-26.230955521105681"/>
    <x v="9"/>
    <n v="2023"/>
  </r>
  <r>
    <n v="1025"/>
    <d v="2023-02-28T00:00:00"/>
    <s v="Bob"/>
    <x v="3"/>
    <n v="8236.1299999999992"/>
    <n v="14"/>
    <x v="3"/>
    <n v="859.59"/>
    <n v="884.51"/>
    <s v="New"/>
    <n v="0.12"/>
    <s v="Bank Transfer"/>
    <s v="Online"/>
    <x v="12"/>
    <n v="12034.26"/>
    <n v="-3798.130000000001"/>
    <n v="-0.4611546927986811"/>
    <x v="0"/>
    <n v="2023"/>
  </r>
  <r>
    <n v="1056"/>
    <d v="2023-02-28T00:00:00"/>
    <s v="Eve"/>
    <x v="0"/>
    <n v="6629.16"/>
    <n v="37"/>
    <x v="3"/>
    <n v="1555.41"/>
    <n v="1609.94"/>
    <s v="Returning"/>
    <n v="0.16"/>
    <s v="Credit Card"/>
    <s v="Online"/>
    <x v="7"/>
    <n v="57550.170000000006"/>
    <n v="-50921.010000000009"/>
    <n v="-7.6813668700106819"/>
    <x v="0"/>
    <n v="2023"/>
  </r>
  <r>
    <n v="1033"/>
    <d v="2023-10-31T00:00:00"/>
    <s v="Eve"/>
    <x v="3"/>
    <n v="7982.79"/>
    <n v="18"/>
    <x v="0"/>
    <n v="3124.48"/>
    <n v="3553.27"/>
    <s v="Returning"/>
    <n v="0.12"/>
    <s v="Cash"/>
    <s v="Retail"/>
    <x v="14"/>
    <n v="56240.639999999999"/>
    <n v="-48257.85"/>
    <n v="-6.0452360640828582"/>
    <x v="7"/>
    <n v="2023"/>
  </r>
  <r>
    <n v="1038"/>
    <d v="2023-06-18T00:00:00"/>
    <s v="Eve"/>
    <x v="1"/>
    <n v="2792.27"/>
    <n v="24"/>
    <x v="2"/>
    <n v="1543.91"/>
    <n v="1862.88"/>
    <s v="New"/>
    <n v="0.09"/>
    <s v="Bank Transfer"/>
    <s v="Online"/>
    <x v="8"/>
    <n v="37053.840000000004"/>
    <n v="-34261.570000000007"/>
    <n v="-12.270149376672029"/>
    <x v="6"/>
    <n v="2023"/>
  </r>
  <r>
    <n v="1006"/>
    <d v="2023-09-26T00:00:00"/>
    <s v="Bob"/>
    <x v="3"/>
    <n v="6954.35"/>
    <n v="14"/>
    <x v="1"/>
    <n v="4503.7299999999996"/>
    <n v="4879.8799999999901"/>
    <s v="New"/>
    <n v="0.24"/>
    <s v="Bank Transfer"/>
    <s v="Retail"/>
    <x v="12"/>
    <n v="63052.219999999994"/>
    <n v="-56097.869999999995"/>
    <n v="-8.06658710016033"/>
    <x v="2"/>
    <n v="2023"/>
  </r>
  <r>
    <n v="1058"/>
    <d v="2023-12-29T00:00:00"/>
    <s v="David"/>
    <x v="0"/>
    <n v="2714.21"/>
    <n v="34"/>
    <x v="3"/>
    <n v="3160.61"/>
    <n v="3273.22"/>
    <s v="Returning"/>
    <n v="0.08"/>
    <s v="Credit Card"/>
    <s v="Retail"/>
    <x v="11"/>
    <n v="107460.74"/>
    <n v="-104746.53"/>
    <n v="-38.591903353093535"/>
    <x v="9"/>
    <n v="2023"/>
  </r>
  <r>
    <n v="1044"/>
    <d v="2023-02-14T00:00:00"/>
    <s v="David"/>
    <x v="1"/>
    <n v="9396.7800000000007"/>
    <n v="12"/>
    <x v="3"/>
    <n v="2221.31"/>
    <n v="2494.48"/>
    <s v="Returning"/>
    <n v="0.22"/>
    <s v="Bank Transfer"/>
    <s v="Online"/>
    <x v="13"/>
    <n v="26655.72"/>
    <n v="-17258.940000000002"/>
    <n v="-1.8366866096684185"/>
    <x v="0"/>
    <n v="2023"/>
  </r>
  <r>
    <n v="1045"/>
    <d v="2023-12-11T00:00:00"/>
    <s v="Alice"/>
    <x v="1"/>
    <n v="6400.11"/>
    <n v="22"/>
    <x v="2"/>
    <n v="241.85"/>
    <n v="613.09"/>
    <s v="Returning"/>
    <n v="0.06"/>
    <s v="Cash"/>
    <s v="Online"/>
    <x v="17"/>
    <n v="5320.7"/>
    <n v="1079.4099999999999"/>
    <n v="0.16865491374367"/>
    <x v="9"/>
    <n v="2023"/>
  </r>
  <r>
    <n v="1032"/>
    <d v="2023-06-30T00:00:00"/>
    <s v="Eve"/>
    <x v="0"/>
    <n v="3312.67"/>
    <n v="6"/>
    <x v="2"/>
    <n v="2522.7600000000002"/>
    <n v="2840.14"/>
    <s v="Returning"/>
    <n v="7.0000000000000007E-2"/>
    <s v="Credit Card"/>
    <s v="Retail"/>
    <x v="7"/>
    <n v="15136.560000000001"/>
    <n v="-11823.890000000001"/>
    <n v="-3.5692930476020854"/>
    <x v="6"/>
    <n v="2023"/>
  </r>
  <r>
    <n v="1045"/>
    <d v="2023-06-19T00:00:00"/>
    <s v="David"/>
    <x v="0"/>
    <n v="2768.17"/>
    <n v="36"/>
    <x v="3"/>
    <n v="3835.64"/>
    <n v="4076.77"/>
    <s v="Returning"/>
    <n v="0.1"/>
    <s v="Credit Card"/>
    <s v="Retail"/>
    <x v="11"/>
    <n v="138083.04"/>
    <n v="-135314.87"/>
    <n v="-48.882427741070813"/>
    <x v="6"/>
    <n v="2023"/>
  </r>
  <r>
    <n v="1061"/>
    <d v="2023-12-22T00:00:00"/>
    <s v="Alice"/>
    <x v="0"/>
    <n v="1990.17"/>
    <n v="45"/>
    <x v="2"/>
    <n v="1364.51"/>
    <n v="1844.8"/>
    <s v="Returning"/>
    <n v="0.18"/>
    <s v="Cash"/>
    <s v="Online"/>
    <x v="15"/>
    <n v="61402.95"/>
    <n v="-59412.78"/>
    <n v="-29.853118075340294"/>
    <x v="9"/>
    <n v="2023"/>
  </r>
  <r>
    <n v="1047"/>
    <d v="2023-07-10T00:00:00"/>
    <s v="David"/>
    <x v="0"/>
    <n v="6976.95"/>
    <n v="36"/>
    <x v="1"/>
    <n v="4043.53"/>
    <n v="4384.8500000000004"/>
    <s v="New"/>
    <n v="0.14000000000000001"/>
    <s v="Cash"/>
    <s v="Online"/>
    <x v="11"/>
    <n v="145567.08000000002"/>
    <n v="-138590.13"/>
    <n v="-19.863999312020297"/>
    <x v="11"/>
    <n v="2023"/>
  </r>
  <r>
    <n v="1021"/>
    <d v="2023-06-04T00:00:00"/>
    <s v="Eve"/>
    <x v="0"/>
    <n v="2265.2800000000002"/>
    <n v="22"/>
    <x v="3"/>
    <n v="1296.44"/>
    <n v="1751.24"/>
    <s v="New"/>
    <n v="0.22"/>
    <s v="Cash"/>
    <s v="Online"/>
    <x v="7"/>
    <n v="28521.68"/>
    <n v="-26256.400000000001"/>
    <n v="-11.590796722700945"/>
    <x v="6"/>
    <n v="2023"/>
  </r>
  <r>
    <n v="1080"/>
    <d v="2023-07-07T00:00:00"/>
    <s v="Charlie"/>
    <x v="1"/>
    <n v="5993.5"/>
    <n v="14"/>
    <x v="1"/>
    <n v="4127.54"/>
    <n v="4495.13"/>
    <s v="New"/>
    <n v="0.06"/>
    <s v="Bank Transfer"/>
    <s v="Retail"/>
    <x v="5"/>
    <n v="57785.56"/>
    <n v="-51792.06"/>
    <n v="-8.6413714857762578"/>
    <x v="11"/>
    <n v="2023"/>
  </r>
  <r>
    <n v="1085"/>
    <d v="2023-01-07T00:00:00"/>
    <s v="Eve"/>
    <x v="1"/>
    <n v="2719.89"/>
    <n v="16"/>
    <x v="1"/>
    <n v="472.08"/>
    <n v="842.46"/>
    <s v="New"/>
    <n v="0"/>
    <s v="Cash"/>
    <s v="Retail"/>
    <x v="8"/>
    <n v="7553.28"/>
    <n v="-4833.3899999999994"/>
    <n v="-1.777053483780594"/>
    <x v="5"/>
    <n v="2023"/>
  </r>
  <r>
    <n v="1075"/>
    <d v="2023-05-13T00:00:00"/>
    <s v="Bob"/>
    <x v="3"/>
    <n v="6653.49"/>
    <n v="36"/>
    <x v="2"/>
    <n v="4337.6099999999997"/>
    <n v="4386.82"/>
    <s v="Returning"/>
    <n v="0.23"/>
    <s v="Credit Card"/>
    <s v="Online"/>
    <x v="12"/>
    <n v="156153.96"/>
    <n v="-149500.47"/>
    <n v="-22.469481430046489"/>
    <x v="10"/>
    <n v="2023"/>
  </r>
  <r>
    <n v="1036"/>
    <d v="2023-08-23T00:00:00"/>
    <s v="David"/>
    <x v="3"/>
    <n v="8167.9"/>
    <n v="25"/>
    <x v="1"/>
    <n v="2520.9699999999998"/>
    <n v="2707.1099999999901"/>
    <s v="New"/>
    <n v="0.25"/>
    <s v="Cash"/>
    <s v="Retail"/>
    <x v="16"/>
    <n v="63024.249999999993"/>
    <n v="-54856.349999999991"/>
    <n v="-6.7160898150075283"/>
    <x v="3"/>
    <n v="2023"/>
  </r>
  <r>
    <n v="1099"/>
    <d v="2023-02-14T00:00:00"/>
    <s v="David"/>
    <x v="2"/>
    <n v="7802.45"/>
    <n v="32"/>
    <x v="2"/>
    <n v="1517.86"/>
    <n v="1948.46"/>
    <s v="New"/>
    <n v="0.02"/>
    <s v="Credit Card"/>
    <s v="Online"/>
    <x v="2"/>
    <n v="48571.519999999997"/>
    <n v="-40769.07"/>
    <n v="-5.2251626091804502"/>
    <x v="0"/>
    <n v="2023"/>
  </r>
  <r>
    <n v="1019"/>
    <d v="2023-11-10T00:00:00"/>
    <s v="Bob"/>
    <x v="3"/>
    <n v="7632.43"/>
    <n v="33"/>
    <x v="0"/>
    <n v="1362.31"/>
    <n v="1486.29"/>
    <s v="Returning"/>
    <n v="0.18"/>
    <s v="Credit Card"/>
    <s v="Retail"/>
    <x v="12"/>
    <n v="44956.229999999996"/>
    <n v="-37323.799999999996"/>
    <n v="-4.8901594904899222"/>
    <x v="8"/>
    <n v="2023"/>
  </r>
  <r>
    <n v="1020"/>
    <d v="2023-09-06T00:00:00"/>
    <s v="Bob"/>
    <x v="3"/>
    <n v="1958.45"/>
    <n v="45"/>
    <x v="2"/>
    <n v="2188.4499999999998"/>
    <n v="2255.0499999999902"/>
    <s v="New"/>
    <n v="0.11"/>
    <s v="Bank Transfer"/>
    <s v="Retail"/>
    <x v="12"/>
    <n v="98480.249999999985"/>
    <n v="-96521.799999999988"/>
    <n v="-49.284791544333522"/>
    <x v="2"/>
    <n v="2023"/>
  </r>
  <r>
    <n v="1057"/>
    <d v="2023-01-31T00:00:00"/>
    <s v="Charlie"/>
    <x v="0"/>
    <n v="975.01"/>
    <n v="36"/>
    <x v="1"/>
    <n v="4995.3"/>
    <n v="5165.09"/>
    <s v="Returning"/>
    <n v="0.24"/>
    <s v="Cash"/>
    <s v="Online"/>
    <x v="19"/>
    <n v="179830.80000000002"/>
    <n v="-178855.79"/>
    <n v="-183.43995446200552"/>
    <x v="5"/>
    <n v="2023"/>
  </r>
  <r>
    <n v="1018"/>
    <d v="2023-01-23T00:00:00"/>
    <s v="David"/>
    <x v="0"/>
    <n v="7019.59"/>
    <n v="20"/>
    <x v="0"/>
    <n v="1140.6199999999999"/>
    <n v="1258.6299999999901"/>
    <s v="Returning"/>
    <n v="0.26"/>
    <s v="Bank Transfer"/>
    <s v="Online"/>
    <x v="11"/>
    <n v="22812.399999999998"/>
    <n v="-15792.809999999998"/>
    <n v="-2.2498194338985606"/>
    <x v="5"/>
    <n v="2023"/>
  </r>
  <r>
    <n v="1047"/>
    <d v="2023-06-09T00:00:00"/>
    <s v="David"/>
    <x v="3"/>
    <n v="3746.64"/>
    <n v="18"/>
    <x v="2"/>
    <n v="560.91999999999996"/>
    <n v="1024.31"/>
    <s v="Returning"/>
    <n v="0.26"/>
    <s v="Cash"/>
    <s v="Online"/>
    <x v="16"/>
    <n v="10096.56"/>
    <n v="-6349.92"/>
    <n v="-1.6948305681890976"/>
    <x v="6"/>
    <n v="2023"/>
  </r>
  <r>
    <n v="1049"/>
    <d v="2023-12-29T00:00:00"/>
    <s v="Charlie"/>
    <x v="2"/>
    <n v="4380.2299999999996"/>
    <n v="38"/>
    <x v="1"/>
    <n v="2945.92"/>
    <n v="3381.22"/>
    <s v="Returning"/>
    <n v="0.23"/>
    <s v="Cash"/>
    <s v="Retail"/>
    <x v="10"/>
    <n v="111944.96000000001"/>
    <n v="-107564.73000000001"/>
    <n v="-24.556868018346073"/>
    <x v="9"/>
    <n v="2023"/>
  </r>
  <r>
    <n v="1014"/>
    <d v="2023-06-07T00:00:00"/>
    <s v="Alice"/>
    <x v="0"/>
    <n v="408.38"/>
    <n v="3"/>
    <x v="3"/>
    <n v="2468.29"/>
    <n v="2723.13"/>
    <s v="Returning"/>
    <n v="0.08"/>
    <s v="Cash"/>
    <s v="Retail"/>
    <x v="15"/>
    <n v="7404.87"/>
    <n v="-6996.49"/>
    <n v="-17.132303246975855"/>
    <x v="6"/>
    <n v="2023"/>
  </r>
  <r>
    <n v="1015"/>
    <d v="2023-02-08T00:00:00"/>
    <s v="Charlie"/>
    <x v="3"/>
    <n v="2669.81"/>
    <n v="23"/>
    <x v="3"/>
    <n v="2644.77"/>
    <n v="2684.83"/>
    <s v="New"/>
    <n v="0.24"/>
    <s v="Cash"/>
    <s v="Online"/>
    <x v="4"/>
    <n v="60829.71"/>
    <n v="-58159.9"/>
    <n v="-21.784284274910949"/>
    <x v="0"/>
    <n v="2023"/>
  </r>
  <r>
    <n v="1031"/>
    <d v="2023-03-23T00:00:00"/>
    <s v="Eve"/>
    <x v="3"/>
    <n v="433.4"/>
    <n v="32"/>
    <x v="2"/>
    <n v="3351.33"/>
    <n v="3711.47"/>
    <s v="New"/>
    <n v="0.16"/>
    <s v="Cash"/>
    <s v="Retail"/>
    <x v="14"/>
    <n v="107242.56"/>
    <n v="-106809.16"/>
    <n v="-246.44476234425474"/>
    <x v="4"/>
    <n v="2023"/>
  </r>
  <r>
    <n v="1001"/>
    <d v="2023-12-22T00:00:00"/>
    <s v="David"/>
    <x v="1"/>
    <n v="8803.94"/>
    <n v="45"/>
    <x v="2"/>
    <n v="1372.36"/>
    <n v="1687.83"/>
    <s v="New"/>
    <n v="0.02"/>
    <s v="Credit Card"/>
    <s v="Online"/>
    <x v="13"/>
    <n v="61756.2"/>
    <n v="-52952.259999999995"/>
    <n v="-6.0146093680783821"/>
    <x v="9"/>
    <n v="2023"/>
  </r>
  <r>
    <n v="1054"/>
    <d v="2023-09-15T00:00:00"/>
    <s v="Bob"/>
    <x v="2"/>
    <n v="2509.63"/>
    <n v="16"/>
    <x v="3"/>
    <n v="4557.79"/>
    <n v="5043.3599999999997"/>
    <s v="Returning"/>
    <n v="0.14000000000000001"/>
    <s v="Credit Card"/>
    <s v="Retail"/>
    <x v="3"/>
    <n v="72924.639999999999"/>
    <n v="-70415.009999999995"/>
    <n v="-28.057924873387709"/>
    <x v="2"/>
    <n v="2023"/>
  </r>
  <r>
    <n v="1003"/>
    <d v="2023-07-25T00:00:00"/>
    <s v="Eve"/>
    <x v="1"/>
    <n v="5617.64"/>
    <n v="5"/>
    <x v="1"/>
    <n v="2206.58"/>
    <n v="2490.4699999999998"/>
    <s v="New"/>
    <n v="0.28000000000000003"/>
    <s v="Cash"/>
    <s v="Online"/>
    <x v="8"/>
    <n v="11032.9"/>
    <n v="-5415.2599999999993"/>
    <n v="-0.96397419556966968"/>
    <x v="11"/>
    <n v="2023"/>
  </r>
  <r>
    <n v="1016"/>
    <d v="2023-03-18T00:00:00"/>
    <s v="David"/>
    <x v="2"/>
    <n v="485.9"/>
    <n v="4"/>
    <x v="1"/>
    <n v="688.98"/>
    <n v="863.81"/>
    <s v="New"/>
    <n v="0.27"/>
    <s v="Credit Card"/>
    <s v="Retail"/>
    <x v="2"/>
    <n v="2755.92"/>
    <n v="-2270.02"/>
    <n v="-4.6717843177608565"/>
    <x v="4"/>
    <n v="2023"/>
  </r>
  <r>
    <n v="1087"/>
    <d v="2023-01-12T00:00:00"/>
    <s v="Charlie"/>
    <x v="0"/>
    <n v="6701.79"/>
    <n v="21"/>
    <x v="1"/>
    <n v="3724.38"/>
    <n v="3988.7"/>
    <s v="New"/>
    <n v="0.03"/>
    <s v="Bank Transfer"/>
    <s v="Retail"/>
    <x v="19"/>
    <n v="78211.98"/>
    <n v="-71510.19"/>
    <n v="-10.670311961431199"/>
    <x v="5"/>
    <n v="2023"/>
  </r>
  <r>
    <n v="1057"/>
    <d v="2023-10-22T00:00:00"/>
    <s v="Eve"/>
    <x v="2"/>
    <n v="3297.97"/>
    <n v="40"/>
    <x v="2"/>
    <n v="3233.37"/>
    <n v="3723.21"/>
    <s v="New"/>
    <n v="0.22"/>
    <s v="Bank Transfer"/>
    <s v="Retail"/>
    <x v="6"/>
    <n v="129334.79999999999"/>
    <n v="-126036.82999999999"/>
    <n v="-38.216487718202409"/>
    <x v="7"/>
    <n v="2023"/>
  </r>
  <r>
    <n v="1075"/>
    <d v="2023-08-12T00:00:00"/>
    <s v="David"/>
    <x v="3"/>
    <n v="8989.4"/>
    <n v="14"/>
    <x v="0"/>
    <n v="1612.93"/>
    <n v="1964.15"/>
    <s v="Returning"/>
    <n v="0.24"/>
    <s v="Bank Transfer"/>
    <s v="Retail"/>
    <x v="16"/>
    <n v="22581.02"/>
    <n v="-13591.62"/>
    <n v="-1.5119607537766704"/>
    <x v="3"/>
    <n v="2023"/>
  </r>
  <r>
    <n v="1012"/>
    <d v="2023-01-13T00:00:00"/>
    <s v="Alice"/>
    <x v="3"/>
    <n v="8892.3700000000008"/>
    <n v="39"/>
    <x v="0"/>
    <n v="3126.52"/>
    <n v="3465.79"/>
    <s v="New"/>
    <n v="0.08"/>
    <s v="Cash"/>
    <s v="Online"/>
    <x v="18"/>
    <n v="121934.28"/>
    <n v="-113041.91"/>
    <n v="-12.712236445402068"/>
    <x v="5"/>
    <n v="2023"/>
  </r>
  <r>
    <n v="1074"/>
    <d v="2023-02-15T00:00:00"/>
    <s v="Alice"/>
    <x v="2"/>
    <n v="3320.38"/>
    <n v="31"/>
    <x v="0"/>
    <n v="1138.32"/>
    <n v="1266.25"/>
    <s v="Returning"/>
    <n v="0.14000000000000001"/>
    <s v="Cash"/>
    <s v="Retail"/>
    <x v="9"/>
    <n v="35287.919999999998"/>
    <n v="-31967.539999999997"/>
    <n v="-9.6276751456158625"/>
    <x v="0"/>
    <n v="2023"/>
  </r>
  <r>
    <n v="1096"/>
    <d v="2023-06-04T00:00:00"/>
    <s v="Bob"/>
    <x v="2"/>
    <n v="9019.51"/>
    <n v="14"/>
    <x v="0"/>
    <n v="2251.9499999999998"/>
    <n v="2626.3199999999902"/>
    <s v="Returning"/>
    <n v="0.21"/>
    <s v="Credit Card"/>
    <s v="Online"/>
    <x v="3"/>
    <n v="31527.299999999996"/>
    <n v="-22507.789999999994"/>
    <n v="-2.4954559615766261"/>
    <x v="6"/>
    <n v="2023"/>
  </r>
  <r>
    <n v="1016"/>
    <d v="2023-04-23T00:00:00"/>
    <s v="David"/>
    <x v="2"/>
    <n v="9961.9599999999991"/>
    <n v="6"/>
    <x v="0"/>
    <n v="4502.09"/>
    <n v="4879.72"/>
    <s v="New"/>
    <n v="0.13"/>
    <s v="Credit Card"/>
    <s v="Online"/>
    <x v="2"/>
    <n v="27012.54"/>
    <n v="-17050.580000000002"/>
    <n v="-1.7115688077446609"/>
    <x v="1"/>
    <n v="2023"/>
  </r>
  <r>
    <n v="1072"/>
    <d v="2023-08-21T00:00:00"/>
    <s v="Alice"/>
    <x v="1"/>
    <n v="8271.6200000000008"/>
    <n v="12"/>
    <x v="2"/>
    <n v="710.99"/>
    <n v="876.46"/>
    <s v="Returning"/>
    <n v="0.03"/>
    <s v="Credit Card"/>
    <s v="Online"/>
    <x v="17"/>
    <n v="8531.880000000001"/>
    <n v="-260.26000000000022"/>
    <n v="-3.1464211363674853E-2"/>
    <x v="3"/>
    <n v="2023"/>
  </r>
  <r>
    <n v="1076"/>
    <d v="2023-01-17T00:00:00"/>
    <s v="Charlie"/>
    <x v="2"/>
    <n v="8464.23"/>
    <n v="16"/>
    <x v="2"/>
    <n v="1964.15"/>
    <n v="2211.17"/>
    <s v="Returning"/>
    <n v="0.21"/>
    <s v="Bank Transfer"/>
    <s v="Online"/>
    <x v="10"/>
    <n v="31426.400000000001"/>
    <n v="-22962.170000000002"/>
    <n v="-2.7128480676919229"/>
    <x v="5"/>
    <n v="2023"/>
  </r>
  <r>
    <n v="1024"/>
    <d v="2023-12-26T00:00:00"/>
    <s v="David"/>
    <x v="0"/>
    <n v="2565.19"/>
    <n v="17"/>
    <x v="0"/>
    <n v="4114.66"/>
    <n v="4269.0199999999904"/>
    <s v="Returning"/>
    <n v="0.27"/>
    <s v="Bank Transfer"/>
    <s v="Retail"/>
    <x v="11"/>
    <n v="69949.22"/>
    <n v="-67384.03"/>
    <n v="-26.26863117351931"/>
    <x v="9"/>
    <n v="2023"/>
  </r>
  <r>
    <n v="1028"/>
    <d v="2023-08-11T00:00:00"/>
    <s v="Charlie"/>
    <x v="1"/>
    <n v="5809.35"/>
    <n v="45"/>
    <x v="2"/>
    <n v="4848.9799999999996"/>
    <n v="4985.75"/>
    <s v="Returning"/>
    <n v="0.2"/>
    <s v="Bank Transfer"/>
    <s v="Online"/>
    <x v="5"/>
    <n v="218204.09999999998"/>
    <n v="-212394.74999999997"/>
    <n v="-36.560845877766006"/>
    <x v="3"/>
    <n v="2023"/>
  </r>
  <r>
    <n v="1008"/>
    <d v="2023-12-20T00:00:00"/>
    <s v="Charlie"/>
    <x v="1"/>
    <n v="765.83"/>
    <n v="23"/>
    <x v="2"/>
    <n v="2296.9299999999998"/>
    <n v="2319.62"/>
    <s v="Returning"/>
    <n v="0.23"/>
    <s v="Bank Transfer"/>
    <s v="Retail"/>
    <x v="5"/>
    <n v="52829.39"/>
    <n v="-52063.56"/>
    <n v="-67.983181646057218"/>
    <x v="9"/>
    <n v="2023"/>
  </r>
  <r>
    <n v="1092"/>
    <d v="2023-07-07T00:00:00"/>
    <s v="Alice"/>
    <x v="2"/>
    <n v="1039.69"/>
    <n v="14"/>
    <x v="0"/>
    <n v="2559.65"/>
    <n v="2709.4"/>
    <s v="Returning"/>
    <n v="0.11"/>
    <s v="Credit Card"/>
    <s v="Retail"/>
    <x v="9"/>
    <n v="35835.1"/>
    <n v="-34795.409999999996"/>
    <n v="-33.467100770421951"/>
    <x v="11"/>
    <n v="2023"/>
  </r>
  <r>
    <n v="1036"/>
    <d v="2023-12-10T00:00:00"/>
    <s v="David"/>
    <x v="0"/>
    <n v="9989.0400000000009"/>
    <n v="7"/>
    <x v="1"/>
    <n v="2882.25"/>
    <n v="3163.7"/>
    <s v="Returning"/>
    <n v="0.05"/>
    <s v="Cash"/>
    <s v="Retail"/>
    <x v="11"/>
    <n v="20175.75"/>
    <n v="-10186.709999999999"/>
    <n v="-1.0197886884024889"/>
    <x v="9"/>
    <n v="2023"/>
  </r>
  <r>
    <n v="1090"/>
    <d v="2023-12-31T00:00:00"/>
    <s v="Eve"/>
    <x v="1"/>
    <n v="3333.73"/>
    <n v="46"/>
    <x v="2"/>
    <n v="4665.12"/>
    <n v="4675.8999999999996"/>
    <s v="New"/>
    <n v="0.19"/>
    <s v="Cash"/>
    <s v="Retail"/>
    <x v="8"/>
    <n v="214595.52"/>
    <n v="-211261.78999999998"/>
    <n v="-63.370995851493667"/>
    <x v="9"/>
    <n v="2023"/>
  </r>
  <r>
    <n v="1008"/>
    <d v="2023-06-12T00:00:00"/>
    <s v="Alice"/>
    <x v="3"/>
    <n v="7507.02"/>
    <n v="32"/>
    <x v="1"/>
    <n v="4298.12"/>
    <n v="4446.8999999999996"/>
    <s v="New"/>
    <n v="0.1"/>
    <s v="Bank Transfer"/>
    <s v="Online"/>
    <x v="18"/>
    <n v="137539.84"/>
    <n v="-130032.81999999999"/>
    <n v="-17.321496412691051"/>
    <x v="6"/>
    <n v="2023"/>
  </r>
  <r>
    <n v="1058"/>
    <d v="2023-11-22T00:00:00"/>
    <s v="Alice"/>
    <x v="1"/>
    <n v="8085.98"/>
    <n v="15"/>
    <x v="2"/>
    <n v="894.48"/>
    <n v="1336.37"/>
    <s v="Returning"/>
    <n v="0.26"/>
    <s v="Cash"/>
    <s v="Retail"/>
    <x v="17"/>
    <n v="13417.2"/>
    <n v="-5331.2200000000012"/>
    <n v="-0.65931649595967357"/>
    <x v="8"/>
    <n v="2023"/>
  </r>
  <r>
    <n v="1060"/>
    <d v="2023-03-15T00:00:00"/>
    <s v="David"/>
    <x v="2"/>
    <n v="8594.43"/>
    <n v="44"/>
    <x v="2"/>
    <n v="2211.9499999999998"/>
    <n v="2512.8399999999901"/>
    <s v="Returning"/>
    <n v="0.04"/>
    <s v="Cash"/>
    <s v="Online"/>
    <x v="2"/>
    <n v="97325.799999999988"/>
    <n v="-88731.37"/>
    <n v="-10.32428793997973"/>
    <x v="4"/>
    <n v="2023"/>
  </r>
  <r>
    <n v="1050"/>
    <d v="2023-08-21T00:00:00"/>
    <s v="David"/>
    <x v="0"/>
    <n v="9976.52"/>
    <n v="17"/>
    <x v="0"/>
    <n v="2346.8000000000002"/>
    <n v="2654.65"/>
    <s v="New"/>
    <n v="0.13"/>
    <s v="Cash"/>
    <s v="Retail"/>
    <x v="11"/>
    <n v="39895.600000000006"/>
    <n v="-29919.080000000005"/>
    <n v="-2.9989495335046694"/>
    <x v="3"/>
    <n v="2023"/>
  </r>
  <r>
    <n v="1028"/>
    <d v="2023-08-12T00:00:00"/>
    <s v="Charlie"/>
    <x v="2"/>
    <n v="2490.8200000000002"/>
    <n v="41"/>
    <x v="2"/>
    <n v="3956.03"/>
    <n v="4163.68"/>
    <s v="New"/>
    <n v="0.12"/>
    <s v="Bank Transfer"/>
    <s v="Retail"/>
    <x v="10"/>
    <n v="162197.23000000001"/>
    <n v="-159706.41"/>
    <n v="-64.118005315518587"/>
    <x v="3"/>
    <n v="2023"/>
  </r>
  <r>
    <n v="1092"/>
    <d v="2023-11-15T00:00:00"/>
    <s v="David"/>
    <x v="3"/>
    <n v="499.47"/>
    <n v="47"/>
    <x v="3"/>
    <n v="3034.32"/>
    <n v="3375.79"/>
    <s v="New"/>
    <n v="0.28000000000000003"/>
    <s v="Credit Card"/>
    <s v="Online"/>
    <x v="16"/>
    <n v="142613.04"/>
    <n v="-142113.57"/>
    <n v="-284.52874046489279"/>
    <x v="8"/>
    <n v="2023"/>
  </r>
  <r>
    <n v="1041"/>
    <d v="2023-03-01T00:00:00"/>
    <s v="Charlie"/>
    <x v="3"/>
    <n v="4170.8"/>
    <n v="44"/>
    <x v="3"/>
    <n v="3288.39"/>
    <n v="3391.46"/>
    <s v="New"/>
    <n v="0.05"/>
    <s v="Credit Card"/>
    <s v="Retail"/>
    <x v="4"/>
    <n v="144689.16"/>
    <n v="-140518.36000000002"/>
    <n v="-33.690984942936609"/>
    <x v="4"/>
    <n v="2023"/>
  </r>
  <r>
    <n v="1100"/>
    <d v="2023-12-01T00:00:00"/>
    <s v="Alice"/>
    <x v="3"/>
    <n v="1387.8"/>
    <n v="34"/>
    <x v="0"/>
    <n v="4991.09"/>
    <n v="5402.28"/>
    <s v="Returning"/>
    <n v="0"/>
    <s v="Cash"/>
    <s v="Retail"/>
    <x v="18"/>
    <n v="169697.06"/>
    <n v="-168309.26"/>
    <n v="-121.27774895518087"/>
    <x v="9"/>
    <n v="2023"/>
  </r>
  <r>
    <n v="1064"/>
    <d v="2023-08-10T00:00:00"/>
    <s v="Bob"/>
    <x v="2"/>
    <n v="322.02"/>
    <n v="5"/>
    <x v="1"/>
    <n v="421.05"/>
    <n v="488.23"/>
    <s v="Returning"/>
    <n v="7.0000000000000007E-2"/>
    <s v="Credit Card"/>
    <s v="Retail"/>
    <x v="3"/>
    <n v="2105.25"/>
    <n v="-1783.23"/>
    <n v="-5.5376374138252284"/>
    <x v="3"/>
    <n v="2023"/>
  </r>
  <r>
    <n v="1027"/>
    <d v="2023-02-06T00:00:00"/>
    <s v="Eve"/>
    <x v="1"/>
    <n v="3668.23"/>
    <n v="45"/>
    <x v="1"/>
    <n v="1153.9000000000001"/>
    <n v="1485.34"/>
    <s v="New"/>
    <n v="0.25"/>
    <s v="Credit Card"/>
    <s v="Retail"/>
    <x v="8"/>
    <n v="51925.500000000007"/>
    <n v="-48257.270000000004"/>
    <n v="-13.155464624628229"/>
    <x v="0"/>
    <n v="2023"/>
  </r>
  <r>
    <n v="1063"/>
    <d v="2023-10-05T00:00:00"/>
    <s v="Alice"/>
    <x v="2"/>
    <n v="7859.01"/>
    <n v="27"/>
    <x v="1"/>
    <n v="2069.08"/>
    <n v="2246.2399999999998"/>
    <s v="New"/>
    <n v="0.06"/>
    <s v="Bank Transfer"/>
    <s v="Retail"/>
    <x v="9"/>
    <n v="55865.159999999996"/>
    <n v="-48006.149999999994"/>
    <n v="-6.1084220531593667"/>
    <x v="7"/>
    <n v="2023"/>
  </r>
  <r>
    <n v="1017"/>
    <d v="2023-07-15T00:00:00"/>
    <s v="David"/>
    <x v="0"/>
    <n v="5705.19"/>
    <n v="23"/>
    <x v="3"/>
    <n v="1771.52"/>
    <n v="2147.8000000000002"/>
    <s v="New"/>
    <n v="7.0000000000000007E-2"/>
    <s v="Bank Transfer"/>
    <s v="Online"/>
    <x v="11"/>
    <n v="40744.959999999999"/>
    <n v="-35039.769999999997"/>
    <n v="-6.141735858052054"/>
    <x v="11"/>
    <n v="2023"/>
  </r>
  <r>
    <n v="1073"/>
    <d v="2023-12-18T00:00:00"/>
    <s v="Eve"/>
    <x v="1"/>
    <n v="3196.5"/>
    <n v="40"/>
    <x v="1"/>
    <n v="157.15"/>
    <n v="436.53"/>
    <s v="New"/>
    <n v="0.04"/>
    <s v="Cash"/>
    <s v="Retail"/>
    <x v="8"/>
    <n v="6286"/>
    <n v="-3089.5"/>
    <n v="-0.96652588768966052"/>
    <x v="9"/>
    <n v="2023"/>
  </r>
  <r>
    <n v="1033"/>
    <d v="2023-08-30T00:00:00"/>
    <s v="Bob"/>
    <x v="3"/>
    <n v="6577.99"/>
    <n v="14"/>
    <x v="1"/>
    <n v="504.3"/>
    <n v="735.95"/>
    <s v="Returning"/>
    <n v="0.21"/>
    <s v="Cash"/>
    <s v="Retail"/>
    <x v="12"/>
    <n v="7060.2"/>
    <n v="-482.21000000000004"/>
    <n v="-7.3306587574623869E-2"/>
    <x v="3"/>
    <n v="2023"/>
  </r>
  <r>
    <n v="1084"/>
    <d v="2023-11-20T00:00:00"/>
    <s v="Bob"/>
    <x v="2"/>
    <n v="2396.98"/>
    <n v="15"/>
    <x v="0"/>
    <n v="3420.72"/>
    <n v="3513.74"/>
    <s v="New"/>
    <n v="0.02"/>
    <s v="Cash"/>
    <s v="Online"/>
    <x v="3"/>
    <n v="51310.799999999996"/>
    <n v="-48913.819999999992"/>
    <n v="-20.406436432510905"/>
    <x v="8"/>
    <n v="2023"/>
  </r>
  <r>
    <n v="1077"/>
    <d v="2023-08-07T00:00:00"/>
    <s v="Charlie"/>
    <x v="3"/>
    <n v="242.38"/>
    <n v="43"/>
    <x v="1"/>
    <n v="4402.66"/>
    <n v="4724.7"/>
    <s v="New"/>
    <n v="0.1"/>
    <s v="Bank Transfer"/>
    <s v="Retail"/>
    <x v="4"/>
    <n v="189314.38"/>
    <n v="-189072"/>
    <n v="-780.06436174601868"/>
    <x v="3"/>
    <n v="2023"/>
  </r>
  <r>
    <n v="1092"/>
    <d v="2023-07-11T00:00:00"/>
    <s v="Eve"/>
    <x v="3"/>
    <n v="7667.1"/>
    <n v="33"/>
    <x v="3"/>
    <n v="2595.42"/>
    <n v="3083.06"/>
    <s v="New"/>
    <n v="0.08"/>
    <s v="Credit Card"/>
    <s v="Online"/>
    <x v="14"/>
    <n v="85648.86"/>
    <n v="-77981.759999999995"/>
    <n v="-10.170959032750321"/>
    <x v="11"/>
    <n v="2023"/>
  </r>
  <r>
    <n v="1029"/>
    <d v="2023-01-17T00:00:00"/>
    <s v="Charlie"/>
    <x v="0"/>
    <n v="6275.06"/>
    <n v="31"/>
    <x v="3"/>
    <n v="2719"/>
    <n v="3133.55"/>
    <s v="Returning"/>
    <n v="0.17"/>
    <s v="Bank Transfer"/>
    <s v="Retail"/>
    <x v="19"/>
    <n v="84289"/>
    <n v="-78013.94"/>
    <n v="-12.432381523045198"/>
    <x v="5"/>
    <n v="2023"/>
  </r>
  <r>
    <n v="1013"/>
    <d v="2023-01-12T00:00:00"/>
    <s v="Alice"/>
    <x v="1"/>
    <n v="7646.8"/>
    <n v="35"/>
    <x v="3"/>
    <n v="1312.71"/>
    <n v="1352.11"/>
    <s v="Returning"/>
    <n v="0.22"/>
    <s v="Bank Transfer"/>
    <s v="Retail"/>
    <x v="17"/>
    <n v="45944.85"/>
    <n v="-38298.049999999996"/>
    <n v="-5.0083760527279377"/>
    <x v="5"/>
    <n v="2023"/>
  </r>
  <r>
    <n v="1046"/>
    <d v="2023-07-12T00:00:00"/>
    <s v="Eve"/>
    <x v="0"/>
    <n v="485.49"/>
    <n v="17"/>
    <x v="0"/>
    <n v="3850.99"/>
    <n v="4045.3399999999901"/>
    <s v="Returning"/>
    <n v="0.16"/>
    <s v="Credit Card"/>
    <s v="Online"/>
    <x v="7"/>
    <n v="65466.829999999994"/>
    <n v="-64981.34"/>
    <n v="-133.84691754722033"/>
    <x v="11"/>
    <n v="2023"/>
  </r>
  <r>
    <n v="1035"/>
    <d v="2023-01-22T00:00:00"/>
    <s v="Alice"/>
    <x v="0"/>
    <n v="8387.48"/>
    <n v="28"/>
    <x v="0"/>
    <n v="3771.38"/>
    <n v="4234.92"/>
    <s v="New"/>
    <n v="0.28000000000000003"/>
    <s v="Credit Card"/>
    <s v="Retail"/>
    <x v="15"/>
    <n v="105598.64"/>
    <n v="-97211.16"/>
    <n v="-11.590031809315791"/>
    <x v="5"/>
    <n v="2023"/>
  </r>
  <r>
    <n v="1006"/>
    <d v="2023-04-30T00:00:00"/>
    <s v="Charlie"/>
    <x v="0"/>
    <n v="6233.31"/>
    <n v="19"/>
    <x v="2"/>
    <n v="2962.41"/>
    <n v="3218.8999999999901"/>
    <s v="New"/>
    <n v="0.28999999999999998"/>
    <s v="Cash"/>
    <s v="Retail"/>
    <x v="19"/>
    <n v="56285.789999999994"/>
    <n v="-50052.479999999996"/>
    <n v="-8.0298396838918631"/>
    <x v="1"/>
    <n v="2023"/>
  </r>
  <r>
    <n v="1082"/>
    <d v="2023-07-29T00:00:00"/>
    <s v="Eve"/>
    <x v="3"/>
    <n v="5677.61"/>
    <n v="46"/>
    <x v="1"/>
    <n v="1102.69"/>
    <n v="1437.12"/>
    <s v="New"/>
    <n v="0.11"/>
    <s v="Credit Card"/>
    <s v="Online"/>
    <x v="14"/>
    <n v="50723.740000000005"/>
    <n v="-45046.130000000005"/>
    <n v="-7.9339951141413385"/>
    <x v="11"/>
    <n v="2023"/>
  </r>
  <r>
    <n v="1069"/>
    <d v="2023-11-02T00:00:00"/>
    <s v="Charlie"/>
    <x v="0"/>
    <n v="6283.68"/>
    <n v="23"/>
    <x v="0"/>
    <n v="530.24"/>
    <n v="987.41"/>
    <s v="Returning"/>
    <n v="0.23"/>
    <s v="Credit Card"/>
    <s v="Online"/>
    <x v="19"/>
    <n v="12195.52"/>
    <n v="-5911.84"/>
    <n v="-0.94082448501515037"/>
    <x v="8"/>
    <n v="2023"/>
  </r>
  <r>
    <n v="1047"/>
    <d v="2023-09-27T00:00:00"/>
    <s v="Eve"/>
    <x v="0"/>
    <n v="8657.89"/>
    <n v="32"/>
    <x v="3"/>
    <n v="367.98"/>
    <n v="806.14"/>
    <s v="Returning"/>
    <n v="0.22"/>
    <s v="Credit Card"/>
    <s v="Retail"/>
    <x v="7"/>
    <n v="11775.36"/>
    <n v="-3117.4700000000012"/>
    <n v="-0.36007271979662497"/>
    <x v="2"/>
    <n v="2023"/>
  </r>
  <r>
    <n v="1025"/>
    <d v="2023-07-11T00:00:00"/>
    <s v="Charlie"/>
    <x v="1"/>
    <n v="5910.67"/>
    <n v="40"/>
    <x v="3"/>
    <n v="2983.85"/>
    <n v="3239.74"/>
    <s v="New"/>
    <n v="0.27"/>
    <s v="Credit Card"/>
    <s v="Online"/>
    <x v="5"/>
    <n v="119354"/>
    <n v="-113443.33"/>
    <n v="-19.192973047048813"/>
    <x v="11"/>
    <n v="2023"/>
  </r>
  <r>
    <n v="1066"/>
    <d v="2023-06-24T00:00:00"/>
    <s v="Bob"/>
    <x v="1"/>
    <n v="5851.41"/>
    <n v="13"/>
    <x v="0"/>
    <n v="4133.92"/>
    <n v="4358.37"/>
    <s v="New"/>
    <n v="0.13"/>
    <s v="Cash"/>
    <s v="Retail"/>
    <x v="1"/>
    <n v="53740.959999999999"/>
    <n v="-47889.55"/>
    <n v="-8.1842752430610748"/>
    <x v="6"/>
    <n v="2023"/>
  </r>
  <r>
    <n v="1010"/>
    <d v="2023-10-12T00:00:00"/>
    <s v="Charlie"/>
    <x v="0"/>
    <n v="9907.7199999999993"/>
    <n v="20"/>
    <x v="0"/>
    <n v="4298.74"/>
    <n v="4475.1899999999996"/>
    <s v="Returning"/>
    <n v="0.16"/>
    <s v="Cash"/>
    <s v="Online"/>
    <x v="19"/>
    <n v="85974.799999999988"/>
    <n v="-76067.079999999987"/>
    <n v="-7.6775564913017318"/>
    <x v="7"/>
    <n v="2023"/>
  </r>
  <r>
    <n v="1056"/>
    <d v="2023-07-23T00:00:00"/>
    <s v="Bob"/>
    <x v="1"/>
    <n v="7591.63"/>
    <n v="35"/>
    <x v="0"/>
    <n v="2344.9299999999998"/>
    <n v="2707.25"/>
    <s v="New"/>
    <n v="0.12"/>
    <s v="Credit Card"/>
    <s v="Retail"/>
    <x v="1"/>
    <n v="82072.549999999988"/>
    <n v="-74480.919999999984"/>
    <n v="-9.8109259803230646"/>
    <x v="11"/>
    <n v="2023"/>
  </r>
  <r>
    <n v="1030"/>
    <d v="2023-06-13T00:00:00"/>
    <s v="Charlie"/>
    <x v="1"/>
    <n v="4478.71"/>
    <n v="5"/>
    <x v="2"/>
    <n v="3932.14"/>
    <n v="4082.7599999999902"/>
    <s v="New"/>
    <n v="0.26"/>
    <s v="Credit Card"/>
    <s v="Online"/>
    <x v="5"/>
    <n v="19660.7"/>
    <n v="-15181.990000000002"/>
    <n v="-3.389813138158086"/>
    <x v="6"/>
    <n v="2023"/>
  </r>
  <r>
    <n v="1005"/>
    <d v="2023-09-08T00:00:00"/>
    <s v="Eve"/>
    <x v="0"/>
    <n v="7103.23"/>
    <n v="9"/>
    <x v="3"/>
    <n v="4737.0600000000004"/>
    <n v="4869.5"/>
    <s v="New"/>
    <n v="7.0000000000000007E-2"/>
    <s v="Cash"/>
    <s v="Online"/>
    <x v="7"/>
    <n v="42633.54"/>
    <n v="-35530.31"/>
    <n v="-5.0019934593135797"/>
    <x v="2"/>
    <n v="2023"/>
  </r>
  <r>
    <n v="1033"/>
    <d v="2023-08-15T00:00:00"/>
    <s v="Eve"/>
    <x v="3"/>
    <n v="3953.38"/>
    <n v="29"/>
    <x v="2"/>
    <n v="1412.09"/>
    <n v="1596.6499999999901"/>
    <s v="Returning"/>
    <n v="7.0000000000000007E-2"/>
    <s v="Cash"/>
    <s v="Online"/>
    <x v="14"/>
    <n v="40950.61"/>
    <n v="-36997.230000000003"/>
    <n v="-9.3583794120474124"/>
    <x v="3"/>
    <n v="2023"/>
  </r>
  <r>
    <n v="1065"/>
    <d v="2023-01-07T00:00:00"/>
    <s v="Eve"/>
    <x v="0"/>
    <n v="2365.87"/>
    <n v="6"/>
    <x v="2"/>
    <n v="2019.9"/>
    <n v="2116.7399999999998"/>
    <s v="New"/>
    <n v="0.11"/>
    <s v="Credit Card"/>
    <s v="Online"/>
    <x v="7"/>
    <n v="12119.400000000001"/>
    <n v="-9753.5300000000025"/>
    <n v="-4.1225976068000367"/>
    <x v="5"/>
    <n v="2023"/>
  </r>
  <r>
    <n v="1018"/>
    <d v="2023-01-29T00:00:00"/>
    <s v="David"/>
    <x v="1"/>
    <n v="6008.83"/>
    <n v="25"/>
    <x v="1"/>
    <n v="4660.82"/>
    <n v="5011.4299999999903"/>
    <s v="New"/>
    <n v="7.0000000000000007E-2"/>
    <s v="Bank Transfer"/>
    <s v="Online"/>
    <x v="13"/>
    <n v="116520.5"/>
    <n v="-110511.67"/>
    <n v="-18.391545442290763"/>
    <x v="5"/>
    <n v="2023"/>
  </r>
  <r>
    <n v="1096"/>
    <d v="2023-02-02T00:00:00"/>
    <s v="Alice"/>
    <x v="3"/>
    <n v="9289"/>
    <n v="31"/>
    <x v="3"/>
    <n v="1724.24"/>
    <n v="2036.2"/>
    <s v="New"/>
    <n v="0.17"/>
    <s v="Cash"/>
    <s v="Online"/>
    <x v="18"/>
    <n v="53451.44"/>
    <n v="-44162.44"/>
    <n v="-4.7542727957799551"/>
    <x v="0"/>
    <n v="2023"/>
  </r>
  <r>
    <n v="1049"/>
    <d v="2023-05-14T00:00:00"/>
    <s v="Eve"/>
    <x v="2"/>
    <n v="9298.48"/>
    <n v="22"/>
    <x v="3"/>
    <n v="4573.6899999999996"/>
    <n v="4820.2999999999902"/>
    <s v="New"/>
    <n v="0.04"/>
    <s v="Cash"/>
    <s v="Online"/>
    <x v="6"/>
    <n v="100621.18"/>
    <n v="-91322.7"/>
    <n v="-9.8212503548967138"/>
    <x v="10"/>
    <n v="2023"/>
  </r>
  <r>
    <n v="1011"/>
    <d v="2023-03-20T00:00:00"/>
    <s v="Bob"/>
    <x v="3"/>
    <n v="3484.86"/>
    <n v="2"/>
    <x v="0"/>
    <n v="4906.17"/>
    <n v="5107.43"/>
    <s v="Returning"/>
    <n v="0.1"/>
    <s v="Cash"/>
    <s v="Online"/>
    <x v="12"/>
    <n v="9812.34"/>
    <n v="-6327.48"/>
    <n v="-1.8157056524508874"/>
    <x v="4"/>
    <n v="2023"/>
  </r>
  <r>
    <n v="1085"/>
    <d v="2023-02-27T00:00:00"/>
    <s v="Eve"/>
    <x v="1"/>
    <n v="5324.01"/>
    <n v="45"/>
    <x v="0"/>
    <n v="3325.96"/>
    <n v="3781.4"/>
    <s v="Returning"/>
    <n v="0.27"/>
    <s v="Credit Card"/>
    <s v="Online"/>
    <x v="8"/>
    <n v="149668.20000000001"/>
    <n v="-144344.19"/>
    <n v="-27.111930668800397"/>
    <x v="0"/>
    <n v="2023"/>
  </r>
  <r>
    <n v="1026"/>
    <d v="2023-01-26T00:00:00"/>
    <s v="David"/>
    <x v="3"/>
    <n v="2195.1999999999998"/>
    <n v="5"/>
    <x v="1"/>
    <n v="4093.61"/>
    <n v="4117.88"/>
    <s v="Returning"/>
    <n v="0.12"/>
    <s v="Credit Card"/>
    <s v="Retail"/>
    <x v="16"/>
    <n v="20468.05"/>
    <n v="-18272.849999999999"/>
    <n v="-8.3240023688046652"/>
    <x v="5"/>
    <n v="2023"/>
  </r>
  <r>
    <n v="1063"/>
    <d v="2023-08-14T00:00:00"/>
    <s v="Bob"/>
    <x v="0"/>
    <n v="9956.75"/>
    <n v="27"/>
    <x v="2"/>
    <n v="3760.25"/>
    <n v="4147.1099999999997"/>
    <s v="New"/>
    <n v="0.22"/>
    <s v="Cash"/>
    <s v="Online"/>
    <x v="0"/>
    <n v="101526.75"/>
    <n v="-91570"/>
    <n v="-9.1967760564441203"/>
    <x v="3"/>
    <n v="2023"/>
  </r>
  <r>
    <n v="1089"/>
    <d v="2023-10-12T00:00:00"/>
    <s v="David"/>
    <x v="2"/>
    <n v="9813.07"/>
    <n v="25"/>
    <x v="0"/>
    <n v="3512.69"/>
    <n v="3964.63"/>
    <s v="Returning"/>
    <n v="0.03"/>
    <s v="Credit Card"/>
    <s v="Retail"/>
    <x v="2"/>
    <n v="87817.25"/>
    <n v="-78004.179999999993"/>
    <n v="-7.949008821907924"/>
    <x v="7"/>
    <n v="2023"/>
  </r>
  <r>
    <n v="1086"/>
    <d v="2023-01-04T00:00:00"/>
    <s v="Bob"/>
    <x v="2"/>
    <n v="6530.14"/>
    <n v="8"/>
    <x v="0"/>
    <n v="1569.31"/>
    <n v="1798.02"/>
    <s v="New"/>
    <n v="7.0000000000000007E-2"/>
    <s v="Credit Card"/>
    <s v="Online"/>
    <x v="3"/>
    <n v="12554.48"/>
    <n v="-6024.3399999999992"/>
    <n v="-0.92254377394665332"/>
    <x v="5"/>
    <n v="2023"/>
  </r>
  <r>
    <n v="1059"/>
    <d v="2023-04-09T00:00:00"/>
    <s v="Charlie"/>
    <x v="2"/>
    <n v="8063.7"/>
    <n v="1"/>
    <x v="3"/>
    <n v="332.62"/>
    <n v="612.46"/>
    <s v="Returning"/>
    <n v="0.24"/>
    <s v="Cash"/>
    <s v="Retail"/>
    <x v="10"/>
    <n v="332.62"/>
    <n v="7731.08"/>
    <n v="0.95875094559569429"/>
    <x v="1"/>
    <n v="2023"/>
  </r>
  <r>
    <n v="1027"/>
    <d v="2023-02-08T00:00:00"/>
    <s v="Alice"/>
    <x v="1"/>
    <n v="7179.49"/>
    <n v="20"/>
    <x v="3"/>
    <n v="1748.11"/>
    <n v="2220.9"/>
    <s v="New"/>
    <n v="0.23"/>
    <s v="Credit Card"/>
    <s v="Retail"/>
    <x v="17"/>
    <n v="34962.199999999997"/>
    <n v="-27782.71"/>
    <n v="-3.869733086890573"/>
    <x v="0"/>
    <n v="2023"/>
  </r>
  <r>
    <n v="1049"/>
    <d v="2023-09-28T00:00:00"/>
    <s v="Alice"/>
    <x v="1"/>
    <n v="5972.27"/>
    <n v="44"/>
    <x v="0"/>
    <n v="3351.33"/>
    <n v="3465.35"/>
    <s v="Returning"/>
    <n v="0.12"/>
    <s v="Bank Transfer"/>
    <s v="Online"/>
    <x v="17"/>
    <n v="147458.51999999999"/>
    <n v="-141486.25"/>
    <n v="-23.690531405981307"/>
    <x v="2"/>
    <n v="2023"/>
  </r>
  <r>
    <n v="1077"/>
    <d v="2023-10-12T00:00:00"/>
    <s v="David"/>
    <x v="2"/>
    <n v="628.15"/>
    <n v="23"/>
    <x v="3"/>
    <n v="557.52"/>
    <n v="822.39"/>
    <s v="Returning"/>
    <n v="0.28999999999999998"/>
    <s v="Credit Card"/>
    <s v="Online"/>
    <x v="2"/>
    <n v="12822.96"/>
    <n v="-12194.81"/>
    <n v="-19.413850195017115"/>
    <x v="7"/>
    <n v="2023"/>
  </r>
  <r>
    <n v="1033"/>
    <d v="2023-06-06T00:00:00"/>
    <s v="Alice"/>
    <x v="3"/>
    <n v="4602.17"/>
    <n v="32"/>
    <x v="1"/>
    <n v="108.99"/>
    <n v="351.6"/>
    <s v="Returning"/>
    <n v="0.27"/>
    <s v="Credit Card"/>
    <s v="Retail"/>
    <x v="18"/>
    <n v="3487.68"/>
    <n v="1114.4900000000002"/>
    <n v="0.24216619551211715"/>
    <x v="6"/>
    <n v="2023"/>
  </r>
  <r>
    <n v="1098"/>
    <d v="2023-03-16T00:00:00"/>
    <s v="David"/>
    <x v="2"/>
    <n v="6780.38"/>
    <n v="11"/>
    <x v="0"/>
    <n v="741.48"/>
    <n v="878.09"/>
    <s v="New"/>
    <n v="0.28999999999999998"/>
    <s v="Cash"/>
    <s v="Retail"/>
    <x v="2"/>
    <n v="8156.2800000000007"/>
    <n v="-1375.9000000000005"/>
    <n v="-0.2029237299384401"/>
    <x v="4"/>
    <n v="2023"/>
  </r>
  <r>
    <n v="1099"/>
    <d v="2023-10-15T00:00:00"/>
    <s v="David"/>
    <x v="3"/>
    <n v="6807.56"/>
    <n v="39"/>
    <x v="3"/>
    <n v="3592.89"/>
    <n v="4004"/>
    <s v="New"/>
    <n v="0.13"/>
    <s v="Cash"/>
    <s v="Online"/>
    <x v="16"/>
    <n v="140122.71"/>
    <n v="-133315.15"/>
    <n v="-19.583396988054457"/>
    <x v="7"/>
    <n v="2023"/>
  </r>
  <r>
    <n v="1001"/>
    <d v="2023-05-10T00:00:00"/>
    <s v="David"/>
    <x v="3"/>
    <n v="3793.91"/>
    <n v="47"/>
    <x v="1"/>
    <n v="4865.33"/>
    <n v="5316.13"/>
    <s v="New"/>
    <n v="0.06"/>
    <s v="Bank Transfer"/>
    <s v="Online"/>
    <x v="16"/>
    <n v="228670.51"/>
    <n v="-224876.6"/>
    <n v="-59.273045486055288"/>
    <x v="10"/>
    <n v="2023"/>
  </r>
  <r>
    <n v="1021"/>
    <d v="2023-06-24T00:00:00"/>
    <s v="Alice"/>
    <x v="1"/>
    <n v="9422.75"/>
    <n v="24"/>
    <x v="3"/>
    <n v="4916.17"/>
    <n v="5309.32"/>
    <s v="Returning"/>
    <n v="0.19"/>
    <s v="Credit Card"/>
    <s v="Online"/>
    <x v="17"/>
    <n v="117988.08"/>
    <n v="-108565.33"/>
    <n v="-11.521618423496326"/>
    <x v="6"/>
    <n v="2023"/>
  </r>
  <r>
    <n v="1055"/>
    <d v="2023-03-25T00:00:00"/>
    <s v="David"/>
    <x v="3"/>
    <n v="1756.83"/>
    <n v="11"/>
    <x v="3"/>
    <n v="2495.1999999999998"/>
    <n v="2600.9299999999998"/>
    <s v="New"/>
    <n v="0.21"/>
    <s v="Bank Transfer"/>
    <s v="Retail"/>
    <x v="16"/>
    <n v="27447.199999999997"/>
    <n v="-25690.369999999995"/>
    <n v="-14.623139404495594"/>
    <x v="4"/>
    <n v="2023"/>
  </r>
  <r>
    <n v="1006"/>
    <d v="2023-01-22T00:00:00"/>
    <s v="Alice"/>
    <x v="2"/>
    <n v="5053.5600000000004"/>
    <n v="29"/>
    <x v="3"/>
    <n v="4353.29"/>
    <n v="4405.8"/>
    <s v="New"/>
    <n v="0.04"/>
    <s v="Bank Transfer"/>
    <s v="Online"/>
    <x v="9"/>
    <n v="126245.41"/>
    <n v="-121191.85"/>
    <n v="-23.981480382146447"/>
    <x v="5"/>
    <n v="2023"/>
  </r>
  <r>
    <n v="1092"/>
    <d v="2023-01-27T00:00:00"/>
    <s v="David"/>
    <x v="1"/>
    <n v="6939.75"/>
    <n v="26"/>
    <x v="0"/>
    <n v="3697.29"/>
    <n v="4003.96"/>
    <s v="New"/>
    <n v="0.24"/>
    <s v="Cash"/>
    <s v="Online"/>
    <x v="13"/>
    <n v="96129.54"/>
    <n v="-89189.79"/>
    <n v="-12.85201772398141"/>
    <x v="5"/>
    <n v="2023"/>
  </r>
  <r>
    <n v="1081"/>
    <d v="2023-07-14T00:00:00"/>
    <s v="Eve"/>
    <x v="0"/>
    <n v="7001.64"/>
    <n v="16"/>
    <x v="2"/>
    <n v="2530.15"/>
    <n v="2568.13"/>
    <s v="New"/>
    <n v="0.01"/>
    <s v="Credit Card"/>
    <s v="Online"/>
    <x v="7"/>
    <n v="40482.400000000001"/>
    <n v="-33480.76"/>
    <n v="-4.7818453962214571"/>
    <x v="11"/>
    <n v="2023"/>
  </r>
  <r>
    <n v="1069"/>
    <d v="2023-12-03T00:00:00"/>
    <s v="David"/>
    <x v="0"/>
    <n v="6521.53"/>
    <n v="35"/>
    <x v="3"/>
    <n v="2885.16"/>
    <n v="3224.8399999999901"/>
    <s v="New"/>
    <n v="0.14000000000000001"/>
    <s v="Cash"/>
    <s v="Online"/>
    <x v="11"/>
    <n v="100980.59999999999"/>
    <n v="-94459.069999999992"/>
    <n v="-14.484188526312076"/>
    <x v="9"/>
    <n v="2023"/>
  </r>
  <r>
    <n v="1095"/>
    <d v="2023-08-24T00:00:00"/>
    <s v="Bob"/>
    <x v="1"/>
    <n v="2825.35"/>
    <n v="20"/>
    <x v="1"/>
    <n v="729.27"/>
    <n v="999.18"/>
    <s v="New"/>
    <n v="0.1"/>
    <s v="Bank Transfer"/>
    <s v="Online"/>
    <x v="1"/>
    <n v="14585.4"/>
    <n v="-11760.05"/>
    <n v="-4.1623338701399826"/>
    <x v="3"/>
    <n v="2023"/>
  </r>
  <r>
    <n v="1005"/>
    <d v="2023-04-02T00:00:00"/>
    <s v="David"/>
    <x v="2"/>
    <n v="1646.45"/>
    <n v="46"/>
    <x v="0"/>
    <n v="4691.42"/>
    <n v="5026.1899999999996"/>
    <s v="Returning"/>
    <n v="0.22"/>
    <s v="Bank Transfer"/>
    <s v="Retail"/>
    <x v="2"/>
    <n v="215805.32"/>
    <n v="-214158.87"/>
    <n v="-130.07310880986364"/>
    <x v="1"/>
    <n v="2023"/>
  </r>
  <r>
    <n v="1003"/>
    <d v="2023-01-21T00:00:00"/>
    <s v="Charlie"/>
    <x v="0"/>
    <n v="6395.81"/>
    <n v="3"/>
    <x v="0"/>
    <n v="1792.05"/>
    <n v="2091.23"/>
    <s v="Returning"/>
    <n v="0.09"/>
    <s v="Cash"/>
    <s v="Retail"/>
    <x v="19"/>
    <n v="5376.15"/>
    <n v="1019.6600000000008"/>
    <n v="0.15942624937263625"/>
    <x v="5"/>
    <n v="2023"/>
  </r>
  <r>
    <n v="1053"/>
    <d v="2023-10-30T00:00:00"/>
    <s v="David"/>
    <x v="0"/>
    <n v="6033.09"/>
    <n v="1"/>
    <x v="1"/>
    <n v="2258.44"/>
    <n v="2475.56"/>
    <s v="New"/>
    <n v="0.25"/>
    <s v="Cash"/>
    <s v="Online"/>
    <x v="11"/>
    <n v="2258.44"/>
    <n v="3774.65"/>
    <n v="0.62565783039868461"/>
    <x v="7"/>
    <n v="2023"/>
  </r>
  <r>
    <n v="1023"/>
    <d v="2023-12-23T00:00:00"/>
    <s v="Bob"/>
    <x v="3"/>
    <n v="1875.62"/>
    <n v="47"/>
    <x v="3"/>
    <n v="3374.72"/>
    <n v="3483.1499999999901"/>
    <s v="Returning"/>
    <n v="0.18"/>
    <s v="Cash"/>
    <s v="Online"/>
    <x v="12"/>
    <n v="158611.84"/>
    <n v="-156736.22"/>
    <n v="-83.565018500549158"/>
    <x v="9"/>
    <n v="2023"/>
  </r>
  <r>
    <n v="1053"/>
    <d v="2023-03-25T00:00:00"/>
    <s v="Bob"/>
    <x v="3"/>
    <n v="7080.88"/>
    <n v="1"/>
    <x v="2"/>
    <n v="1702.82"/>
    <n v="1862.61"/>
    <s v="Returning"/>
    <n v="0.24"/>
    <s v="Cash"/>
    <s v="Retail"/>
    <x v="12"/>
    <n v="1702.82"/>
    <n v="5378.06"/>
    <n v="0.7595185909096045"/>
    <x v="4"/>
    <n v="2023"/>
  </r>
  <r>
    <n v="1037"/>
    <d v="2023-09-19T00:00:00"/>
    <s v="Alice"/>
    <x v="2"/>
    <n v="4606.2"/>
    <n v="17"/>
    <x v="3"/>
    <n v="1308.58"/>
    <n v="1575.59"/>
    <s v="New"/>
    <n v="0.3"/>
    <s v="Cash"/>
    <s v="Online"/>
    <x v="9"/>
    <n v="22245.86"/>
    <n v="-17639.66"/>
    <n v="-3.8295471321262649"/>
    <x v="2"/>
    <n v="2023"/>
  </r>
  <r>
    <n v="1074"/>
    <d v="2023-05-27T00:00:00"/>
    <s v="Eve"/>
    <x v="1"/>
    <n v="6710.83"/>
    <n v="2"/>
    <x v="1"/>
    <n v="3173.69"/>
    <n v="3503.11"/>
    <s v="New"/>
    <n v="0.2"/>
    <s v="Bank Transfer"/>
    <s v="Retail"/>
    <x v="8"/>
    <n v="6347.38"/>
    <n v="363.44999999999982"/>
    <n v="5.4158725522774356E-2"/>
    <x v="10"/>
    <n v="2023"/>
  </r>
  <r>
    <n v="1074"/>
    <d v="2023-09-14T00:00:00"/>
    <s v="David"/>
    <x v="2"/>
    <n v="8389.93"/>
    <n v="29"/>
    <x v="0"/>
    <n v="173.67"/>
    <n v="565.62"/>
    <s v="Returning"/>
    <n v="0.3"/>
    <s v="Cash"/>
    <s v="Online"/>
    <x v="2"/>
    <n v="5036.4299999999994"/>
    <n v="3353.5000000000009"/>
    <n v="0.39970536106975874"/>
    <x v="2"/>
    <n v="2023"/>
  </r>
  <r>
    <n v="1083"/>
    <d v="2023-02-27T00:00:00"/>
    <s v="Alice"/>
    <x v="1"/>
    <n v="1780.31"/>
    <n v="20"/>
    <x v="2"/>
    <n v="3617.59"/>
    <n v="4003.5"/>
    <s v="New"/>
    <n v="0.01"/>
    <s v="Credit Card"/>
    <s v="Retail"/>
    <x v="17"/>
    <n v="72351.8"/>
    <n v="-70571.490000000005"/>
    <n v="-39.64000089871989"/>
    <x v="0"/>
    <n v="2023"/>
  </r>
  <r>
    <n v="1017"/>
    <d v="2023-01-15T00:00:00"/>
    <s v="Eve"/>
    <x v="0"/>
    <n v="289.52999999999997"/>
    <n v="6"/>
    <x v="0"/>
    <n v="2594.42"/>
    <n v="3081.04"/>
    <s v="Returning"/>
    <n v="0.1"/>
    <s v="Bank Transfer"/>
    <s v="Retail"/>
    <x v="7"/>
    <n v="15566.52"/>
    <n v="-15276.99"/>
    <n v="-52.764791213345774"/>
    <x v="5"/>
    <n v="2023"/>
  </r>
  <r>
    <n v="1085"/>
    <d v="2023-06-11T00:00:00"/>
    <s v="David"/>
    <x v="3"/>
    <n v="7813.12"/>
    <n v="8"/>
    <x v="1"/>
    <n v="3048.48"/>
    <n v="3198.54"/>
    <s v="Returning"/>
    <n v="0.03"/>
    <s v="Bank Transfer"/>
    <s v="Online"/>
    <x v="16"/>
    <n v="24387.84"/>
    <n v="-16574.72"/>
    <n v="-2.1213958060288336"/>
    <x v="6"/>
    <n v="2023"/>
  </r>
  <r>
    <n v="1078"/>
    <d v="2023-06-12T00:00:00"/>
    <s v="Charlie"/>
    <x v="2"/>
    <n v="6136"/>
    <n v="29"/>
    <x v="3"/>
    <n v="3177.81"/>
    <n v="3222.65"/>
    <s v="Returning"/>
    <n v="0.08"/>
    <s v="Credit Card"/>
    <s v="Retail"/>
    <x v="10"/>
    <n v="92156.49"/>
    <n v="-86020.49"/>
    <n v="-14.018984680573665"/>
    <x v="6"/>
    <n v="2023"/>
  </r>
  <r>
    <n v="1073"/>
    <d v="2023-11-16T00:00:00"/>
    <s v="David"/>
    <x v="2"/>
    <n v="7026.43"/>
    <n v="48"/>
    <x v="2"/>
    <n v="2658.9"/>
    <n v="2838.27"/>
    <s v="New"/>
    <n v="0.25"/>
    <s v="Credit Card"/>
    <s v="Online"/>
    <x v="2"/>
    <n v="127627.20000000001"/>
    <n v="-120600.77000000002"/>
    <n v="-17.163875538502484"/>
    <x v="8"/>
    <n v="2023"/>
  </r>
  <r>
    <n v="1001"/>
    <d v="2023-10-08T00:00:00"/>
    <s v="Bob"/>
    <x v="1"/>
    <n v="8397.73"/>
    <n v="33"/>
    <x v="0"/>
    <n v="2933.54"/>
    <n v="3307.75"/>
    <s v="Returning"/>
    <n v="0.01"/>
    <s v="Bank Transfer"/>
    <s v="Retail"/>
    <x v="1"/>
    <n v="96806.819999999992"/>
    <n v="-88409.09"/>
    <n v="-10.527736662169421"/>
    <x v="7"/>
    <n v="2023"/>
  </r>
  <r>
    <n v="1051"/>
    <d v="2023-10-07T00:00:00"/>
    <s v="Bob"/>
    <x v="1"/>
    <n v="8047.83"/>
    <n v="3"/>
    <x v="0"/>
    <n v="3434.75"/>
    <n v="3659.42"/>
    <s v="New"/>
    <n v="0.16"/>
    <s v="Cash"/>
    <s v="Online"/>
    <x v="1"/>
    <n v="10304.25"/>
    <n v="-2256.42"/>
    <n v="-0.28037620078952963"/>
    <x v="7"/>
    <n v="2023"/>
  </r>
  <r>
    <n v="1045"/>
    <d v="2023-01-12T00:00:00"/>
    <s v="Charlie"/>
    <x v="2"/>
    <n v="9613.11"/>
    <n v="35"/>
    <x v="0"/>
    <n v="3777.94"/>
    <n v="4188.66"/>
    <s v="New"/>
    <n v="0.17"/>
    <s v="Bank Transfer"/>
    <s v="Online"/>
    <x v="10"/>
    <n v="132227.9"/>
    <n v="-122614.79"/>
    <n v="-12.754955472266518"/>
    <x v="5"/>
    <n v="2023"/>
  </r>
  <r>
    <n v="1077"/>
    <d v="2023-10-01T00:00:00"/>
    <s v="Alice"/>
    <x v="1"/>
    <n v="5405.76"/>
    <n v="5"/>
    <x v="3"/>
    <n v="3650.89"/>
    <n v="3930.06"/>
    <s v="New"/>
    <n v="0.17"/>
    <s v="Bank Transfer"/>
    <s v="Online"/>
    <x v="17"/>
    <n v="18254.45"/>
    <n v="-12848.69"/>
    <n v="-2.3768517285266086"/>
    <x v="7"/>
    <n v="2023"/>
  </r>
  <r>
    <n v="1004"/>
    <d v="2023-09-28T00:00:00"/>
    <s v="Eve"/>
    <x v="2"/>
    <n v="4936.1099999999997"/>
    <n v="27"/>
    <x v="2"/>
    <n v="4354.6000000000004"/>
    <n v="4820.2"/>
    <s v="New"/>
    <n v="0.14000000000000001"/>
    <s v="Credit Card"/>
    <s v="Retail"/>
    <x v="6"/>
    <n v="117574.20000000001"/>
    <n v="-112638.09000000001"/>
    <n v="-22.81920176009044"/>
    <x v="2"/>
    <n v="2023"/>
  </r>
  <r>
    <n v="1062"/>
    <d v="2023-07-27T00:00:00"/>
    <s v="David"/>
    <x v="2"/>
    <n v="4078.68"/>
    <n v="44"/>
    <x v="3"/>
    <n v="987.74"/>
    <n v="1462.19"/>
    <s v="New"/>
    <n v="0.24"/>
    <s v="Bank Transfer"/>
    <s v="Online"/>
    <x v="2"/>
    <n v="43460.56"/>
    <n v="-39381.879999999997"/>
    <n v="-9.6555454215579548"/>
    <x v="11"/>
    <n v="2023"/>
  </r>
  <r>
    <n v="1065"/>
    <d v="2023-01-27T00:00:00"/>
    <s v="Bob"/>
    <x v="2"/>
    <n v="1621.54"/>
    <n v="12"/>
    <x v="3"/>
    <n v="2035.68"/>
    <n v="2079.64"/>
    <s v="Returning"/>
    <n v="0.04"/>
    <s v="Cash"/>
    <s v="Online"/>
    <x v="3"/>
    <n v="24428.16"/>
    <n v="-22806.62"/>
    <n v="-14.06479026110981"/>
    <x v="5"/>
    <n v="2023"/>
  </r>
  <r>
    <n v="1032"/>
    <d v="2023-03-13T00:00:00"/>
    <s v="Alice"/>
    <x v="0"/>
    <n v="5768.81"/>
    <n v="20"/>
    <x v="3"/>
    <n v="4741.59"/>
    <n v="4975.2299999999996"/>
    <s v="New"/>
    <n v="0.09"/>
    <s v="Credit Card"/>
    <s v="Online"/>
    <x v="15"/>
    <n v="94831.8"/>
    <n v="-89062.99"/>
    <n v="-15.438710929983827"/>
    <x v="4"/>
    <n v="2023"/>
  </r>
  <r>
    <n v="1034"/>
    <d v="2023-03-01T00:00:00"/>
    <s v="Charlie"/>
    <x v="1"/>
    <n v="2842.42"/>
    <n v="45"/>
    <x v="1"/>
    <n v="2013.12"/>
    <n v="2321.87"/>
    <s v="New"/>
    <n v="0.18"/>
    <s v="Bank Transfer"/>
    <s v="Retail"/>
    <x v="5"/>
    <n v="90590.399999999994"/>
    <n v="-87747.98"/>
    <n v="-30.870870596182126"/>
    <x v="4"/>
    <n v="2023"/>
  </r>
  <r>
    <n v="1092"/>
    <d v="2023-05-25T00:00:00"/>
    <s v="Bob"/>
    <x v="3"/>
    <n v="9220.94"/>
    <n v="20"/>
    <x v="1"/>
    <n v="668.11"/>
    <n v="803.49"/>
    <s v="New"/>
    <n v="0.21"/>
    <s v="Bank Transfer"/>
    <s v="Online"/>
    <x v="12"/>
    <n v="13362.2"/>
    <n v="-4141.26"/>
    <n v="-0.44911473233748406"/>
    <x v="10"/>
    <n v="2023"/>
  </r>
  <r>
    <n v="1095"/>
    <d v="2023-04-03T00:00:00"/>
    <s v="Charlie"/>
    <x v="3"/>
    <n v="5873.59"/>
    <n v="9"/>
    <x v="1"/>
    <n v="2650.95"/>
    <n v="2860.4199999999901"/>
    <s v="New"/>
    <n v="0.12"/>
    <s v="Cash"/>
    <s v="Retail"/>
    <x v="4"/>
    <n v="23858.55"/>
    <n v="-17984.96"/>
    <n v="-3.0620046683544473"/>
    <x v="1"/>
    <n v="2023"/>
  </r>
  <r>
    <n v="1072"/>
    <d v="2023-11-05T00:00:00"/>
    <s v="David"/>
    <x v="1"/>
    <n v="5969.12"/>
    <n v="39"/>
    <x v="2"/>
    <n v="591.98"/>
    <n v="934.04"/>
    <s v="New"/>
    <n v="0.26"/>
    <s v="Bank Transfer"/>
    <s v="Retail"/>
    <x v="13"/>
    <n v="23087.22"/>
    <n v="-17118.100000000002"/>
    <n v="-2.867776154609055"/>
    <x v="8"/>
    <n v="2023"/>
  </r>
  <r>
    <n v="1039"/>
    <d v="2023-01-08T00:00:00"/>
    <s v="Eve"/>
    <x v="2"/>
    <n v="3613.75"/>
    <n v="4"/>
    <x v="3"/>
    <n v="1054.1199999999999"/>
    <n v="1175.21999999999"/>
    <s v="Returning"/>
    <n v="0.12"/>
    <s v="Bank Transfer"/>
    <s v="Retail"/>
    <x v="6"/>
    <n v="4216.4799999999996"/>
    <n v="-602.72999999999956"/>
    <n v="-0.16678796264268408"/>
    <x v="5"/>
    <n v="2023"/>
  </r>
  <r>
    <n v="1026"/>
    <d v="2023-03-20T00:00:00"/>
    <s v="Bob"/>
    <x v="3"/>
    <n v="614.69000000000005"/>
    <n v="19"/>
    <x v="3"/>
    <n v="4991.68"/>
    <n v="5296.65"/>
    <s v="New"/>
    <n v="0.12"/>
    <s v="Bank Transfer"/>
    <s v="Online"/>
    <x v="12"/>
    <n v="94841.920000000013"/>
    <n v="-94227.23000000001"/>
    <n v="-153.29227740812442"/>
    <x v="4"/>
    <n v="2023"/>
  </r>
  <r>
    <n v="1034"/>
    <d v="2023-01-27T00:00:00"/>
    <s v="Bob"/>
    <x v="3"/>
    <n v="414.26"/>
    <n v="38"/>
    <x v="1"/>
    <n v="2729.75"/>
    <n v="3081.5"/>
    <s v="New"/>
    <n v="0.01"/>
    <s v="Bank Transfer"/>
    <s v="Online"/>
    <x v="12"/>
    <n v="103730.5"/>
    <n v="-103316.24"/>
    <n v="-249.39950755564141"/>
    <x v="5"/>
    <n v="2023"/>
  </r>
  <r>
    <n v="1054"/>
    <d v="2023-06-23T00:00:00"/>
    <s v="David"/>
    <x v="1"/>
    <n v="4291.0200000000004"/>
    <n v="27"/>
    <x v="3"/>
    <n v="1456.09"/>
    <n v="1510.4299999999901"/>
    <s v="Returning"/>
    <n v="0.17"/>
    <s v="Cash"/>
    <s v="Retail"/>
    <x v="13"/>
    <n v="39314.43"/>
    <n v="-35023.410000000003"/>
    <n v="-8.1620244137757449"/>
    <x v="6"/>
    <n v="2023"/>
  </r>
  <r>
    <n v="1003"/>
    <d v="2023-02-19T00:00:00"/>
    <s v="Alice"/>
    <x v="3"/>
    <n v="937.2"/>
    <n v="45"/>
    <x v="3"/>
    <n v="4974.1400000000003"/>
    <n v="5227.93"/>
    <s v="New"/>
    <n v="0.21"/>
    <s v="Bank Transfer"/>
    <s v="Online"/>
    <x v="18"/>
    <n v="223836.30000000002"/>
    <n v="-222899.1"/>
    <n v="-237.83514724711907"/>
    <x v="0"/>
    <n v="2023"/>
  </r>
  <r>
    <n v="1050"/>
    <d v="2023-07-18T00:00:00"/>
    <s v="Eve"/>
    <x v="2"/>
    <n v="6107.78"/>
    <n v="43"/>
    <x v="0"/>
    <n v="4834.47"/>
    <n v="4973.38"/>
    <s v="Returning"/>
    <n v="0.03"/>
    <s v="Bank Transfer"/>
    <s v="Online"/>
    <x v="6"/>
    <n v="207882.21000000002"/>
    <n v="-201774.43000000002"/>
    <n v="-33.035641427818298"/>
    <x v="11"/>
    <n v="2023"/>
  </r>
  <r>
    <n v="1012"/>
    <d v="2023-12-15T00:00:00"/>
    <s v="Bob"/>
    <x v="1"/>
    <n v="8821.6299999999992"/>
    <n v="13"/>
    <x v="3"/>
    <n v="2231.66"/>
    <n v="2596.6099999999901"/>
    <s v="Returning"/>
    <n v="0.09"/>
    <s v="Bank Transfer"/>
    <s v="Retail"/>
    <x v="1"/>
    <n v="29011.579999999998"/>
    <n v="-20189.949999999997"/>
    <n v="-2.2886870113573115"/>
    <x v="9"/>
    <n v="2023"/>
  </r>
  <r>
    <n v="1065"/>
    <d v="2023-06-30T00:00:00"/>
    <s v="Eve"/>
    <x v="2"/>
    <n v="8840.86"/>
    <n v="13"/>
    <x v="0"/>
    <n v="1339"/>
    <n v="1441.88"/>
    <s v="Returning"/>
    <n v="0.23"/>
    <s v="Credit Card"/>
    <s v="Retail"/>
    <x v="6"/>
    <n v="17407"/>
    <n v="-8566.14"/>
    <n v="-0.96892609994955226"/>
    <x v="6"/>
    <n v="2023"/>
  </r>
  <r>
    <n v="1054"/>
    <d v="2023-01-24T00:00:00"/>
    <s v="Bob"/>
    <x v="3"/>
    <n v="6624.55"/>
    <n v="22"/>
    <x v="3"/>
    <n v="4200.08"/>
    <n v="4647.28"/>
    <s v="Returning"/>
    <n v="0.11"/>
    <s v="Cash"/>
    <s v="Online"/>
    <x v="12"/>
    <n v="92401.76"/>
    <n v="-85777.209999999992"/>
    <n v="-12.948382909027782"/>
    <x v="5"/>
    <n v="2023"/>
  </r>
  <r>
    <n v="1005"/>
    <d v="2023-11-12T00:00:00"/>
    <s v="Eve"/>
    <x v="3"/>
    <n v="2191.1999999999998"/>
    <n v="28"/>
    <x v="2"/>
    <n v="3592.32"/>
    <n v="3813.48"/>
    <s v="New"/>
    <n v="7.0000000000000007E-2"/>
    <s v="Credit Card"/>
    <s v="Retail"/>
    <x v="14"/>
    <n v="100584.96000000001"/>
    <n v="-98393.760000000009"/>
    <n v="-44.904052573932098"/>
    <x v="8"/>
    <n v="2023"/>
  </r>
  <r>
    <n v="1094"/>
    <d v="2023-02-15T00:00:00"/>
    <s v="Charlie"/>
    <x v="2"/>
    <n v="8643.67"/>
    <n v="47"/>
    <x v="1"/>
    <n v="3450.36"/>
    <n v="3557.38"/>
    <s v="New"/>
    <n v="0.2"/>
    <s v="Credit Card"/>
    <s v="Online"/>
    <x v="10"/>
    <n v="162166.92000000001"/>
    <n v="-153523.25"/>
    <n v="-17.761350213508845"/>
    <x v="0"/>
    <n v="2023"/>
  </r>
  <r>
    <n v="1094"/>
    <d v="2023-01-15T00:00:00"/>
    <s v="Bob"/>
    <x v="0"/>
    <n v="8872.33"/>
    <n v="45"/>
    <x v="0"/>
    <n v="4470.91"/>
    <n v="4695.54"/>
    <s v="Returning"/>
    <n v="0.06"/>
    <s v="Cash"/>
    <s v="Retail"/>
    <x v="0"/>
    <n v="201190.94999999998"/>
    <n v="-192318.62"/>
    <n v="-21.67622484736253"/>
    <x v="5"/>
    <n v="2023"/>
  </r>
  <r>
    <n v="1057"/>
    <d v="2023-06-02T00:00:00"/>
    <s v="Eve"/>
    <x v="3"/>
    <n v="2046.87"/>
    <n v="22"/>
    <x v="1"/>
    <n v="3462.61"/>
    <n v="3672.89"/>
    <s v="Returning"/>
    <n v="0.27"/>
    <s v="Credit Card"/>
    <s v="Online"/>
    <x v="14"/>
    <n v="76177.42"/>
    <n v="-74130.55"/>
    <n v="-36.216540376281841"/>
    <x v="6"/>
    <n v="2023"/>
  </r>
  <r>
    <n v="1017"/>
    <d v="2023-08-10T00:00:00"/>
    <s v="Alice"/>
    <x v="0"/>
    <n v="7400.52"/>
    <n v="43"/>
    <x v="0"/>
    <n v="1454.8"/>
    <n v="1674.97"/>
    <s v="New"/>
    <n v="0.03"/>
    <s v="Credit Card"/>
    <s v="Online"/>
    <x v="15"/>
    <n v="62556.4"/>
    <n v="-55155.880000000005"/>
    <n v="-7.4529735748298771"/>
    <x v="3"/>
    <n v="2023"/>
  </r>
  <r>
    <n v="1047"/>
    <d v="2023-07-25T00:00:00"/>
    <s v="Charlie"/>
    <x v="3"/>
    <n v="2936.54"/>
    <n v="19"/>
    <x v="0"/>
    <n v="3484.62"/>
    <n v="3781.5499999999902"/>
    <s v="Returning"/>
    <n v="0.21"/>
    <s v="Credit Card"/>
    <s v="Retail"/>
    <x v="4"/>
    <n v="66207.78"/>
    <n v="-63271.24"/>
    <n v="-21.546187009201304"/>
    <x v="11"/>
    <n v="2023"/>
  </r>
  <r>
    <n v="1023"/>
    <d v="2023-09-30T00:00:00"/>
    <s v="Charlie"/>
    <x v="0"/>
    <n v="8046.14"/>
    <n v="8"/>
    <x v="0"/>
    <n v="1563.78"/>
    <n v="1829.1599999999901"/>
    <s v="Returning"/>
    <n v="0.15"/>
    <s v="Cash"/>
    <s v="Online"/>
    <x v="19"/>
    <n v="12510.24"/>
    <n v="-4464.0999999999995"/>
    <n v="-0.55481261822439076"/>
    <x v="2"/>
    <n v="2023"/>
  </r>
  <r>
    <n v="1079"/>
    <d v="2023-08-24T00:00:00"/>
    <s v="Alice"/>
    <x v="0"/>
    <n v="9972.66"/>
    <n v="8"/>
    <x v="2"/>
    <n v="3808.23"/>
    <n v="3891.62"/>
    <s v="Returning"/>
    <n v="0.26"/>
    <s v="Bank Transfer"/>
    <s v="Online"/>
    <x v="15"/>
    <n v="30465.84"/>
    <n v="-20493.18"/>
    <n v="-2.0549361955586574"/>
    <x v="3"/>
    <n v="2023"/>
  </r>
  <r>
    <n v="1085"/>
    <d v="2023-12-06T00:00:00"/>
    <s v="Eve"/>
    <x v="0"/>
    <n v="397.26"/>
    <n v="42"/>
    <x v="3"/>
    <n v="3117.75"/>
    <n v="3159.88"/>
    <s v="New"/>
    <n v="0.04"/>
    <s v="Cash"/>
    <s v="Retail"/>
    <x v="7"/>
    <n v="130945.5"/>
    <n v="-130548.24"/>
    <n v="-328.62165835976441"/>
    <x v="9"/>
    <n v="2023"/>
  </r>
  <r>
    <n v="1014"/>
    <d v="2023-08-16T00:00:00"/>
    <s v="David"/>
    <x v="2"/>
    <n v="8983.92"/>
    <n v="26"/>
    <x v="0"/>
    <n v="433.19"/>
    <n v="800.6"/>
    <s v="Returning"/>
    <n v="0.2"/>
    <s v="Cash"/>
    <s v="Online"/>
    <x v="2"/>
    <n v="11262.94"/>
    <n v="-2279.0200000000004"/>
    <n v="-0.25367768190277745"/>
    <x v="3"/>
    <n v="2023"/>
  </r>
  <r>
    <n v="1066"/>
    <d v="2023-01-09T00:00:00"/>
    <s v="Alice"/>
    <x v="0"/>
    <n v="6264.04"/>
    <n v="48"/>
    <x v="2"/>
    <n v="2588.54"/>
    <n v="2872.8"/>
    <s v="New"/>
    <n v="0.17"/>
    <s v="Cash"/>
    <s v="Online"/>
    <x v="15"/>
    <n v="124249.92"/>
    <n v="-117985.88"/>
    <n v="-18.835428892535809"/>
    <x v="5"/>
    <n v="2023"/>
  </r>
  <r>
    <n v="1075"/>
    <d v="2023-06-15T00:00:00"/>
    <s v="Eve"/>
    <x v="0"/>
    <n v="9736.49"/>
    <n v="26"/>
    <x v="0"/>
    <n v="1749.34"/>
    <n v="1935.25"/>
    <s v="New"/>
    <n v="0.14000000000000001"/>
    <s v="Credit Card"/>
    <s v="Online"/>
    <x v="7"/>
    <n v="45482.84"/>
    <n v="-35746.35"/>
    <n v="-3.6713795217783822"/>
    <x v="6"/>
    <n v="2023"/>
  </r>
  <r>
    <n v="1051"/>
    <d v="2023-11-15T00:00:00"/>
    <s v="Alice"/>
    <x v="0"/>
    <n v="4703.59"/>
    <n v="23"/>
    <x v="3"/>
    <n v="1676.42"/>
    <n v="2082.52"/>
    <s v="New"/>
    <n v="0.15"/>
    <s v="Bank Transfer"/>
    <s v="Retail"/>
    <x v="15"/>
    <n v="38557.660000000003"/>
    <n v="-33854.070000000007"/>
    <n v="-7.1974959552171862"/>
    <x v="8"/>
    <n v="2023"/>
  </r>
  <r>
    <n v="1038"/>
    <d v="2023-08-02T00:00:00"/>
    <s v="Alice"/>
    <x v="3"/>
    <n v="8489.14"/>
    <n v="43"/>
    <x v="0"/>
    <n v="3031.17"/>
    <n v="3231.32"/>
    <s v="Returning"/>
    <n v="0.22"/>
    <s v="Cash"/>
    <s v="Retail"/>
    <x v="18"/>
    <n v="130340.31"/>
    <n v="-121851.17"/>
    <n v="-14.35377081777424"/>
    <x v="3"/>
    <n v="2023"/>
  </r>
  <r>
    <n v="1064"/>
    <d v="2023-04-27T00:00:00"/>
    <s v="Bob"/>
    <x v="0"/>
    <n v="717.7"/>
    <n v="13"/>
    <x v="2"/>
    <n v="1645.51"/>
    <n v="2045.53"/>
    <s v="Returning"/>
    <n v="0.28000000000000003"/>
    <s v="Cash"/>
    <s v="Retail"/>
    <x v="0"/>
    <n v="21391.63"/>
    <n v="-20673.93"/>
    <n v="-28.805810227114392"/>
    <x v="1"/>
    <n v="2023"/>
  </r>
  <r>
    <n v="1098"/>
    <d v="2023-12-10T00:00:00"/>
    <s v="Eve"/>
    <x v="3"/>
    <n v="3419.26"/>
    <n v="28"/>
    <x v="3"/>
    <n v="3895.62"/>
    <n v="4055.44"/>
    <s v="New"/>
    <n v="0.03"/>
    <s v="Bank Transfer"/>
    <s v="Retail"/>
    <x v="14"/>
    <n v="109077.36"/>
    <n v="-105658.1"/>
    <n v="-30.900867439153501"/>
    <x v="9"/>
    <n v="2023"/>
  </r>
  <r>
    <n v="1038"/>
    <d v="2023-03-13T00:00:00"/>
    <s v="David"/>
    <x v="0"/>
    <n v="763.46"/>
    <n v="9"/>
    <x v="2"/>
    <n v="400.42"/>
    <n v="446.11"/>
    <s v="New"/>
    <n v="0.01"/>
    <s v="Bank Transfer"/>
    <s v="Retail"/>
    <x v="11"/>
    <n v="3603.78"/>
    <n v="-2840.32"/>
    <n v="-3.7203258847876772"/>
    <x v="4"/>
    <n v="2023"/>
  </r>
  <r>
    <n v="1050"/>
    <d v="2023-03-05T00:00:00"/>
    <s v="Bob"/>
    <x v="0"/>
    <n v="9755.9"/>
    <n v="20"/>
    <x v="3"/>
    <n v="3318.92"/>
    <n v="3785.91"/>
    <s v="New"/>
    <n v="0.24"/>
    <s v="Bank Transfer"/>
    <s v="Online"/>
    <x v="0"/>
    <n v="66378.399999999994"/>
    <n v="-56622.499999999993"/>
    <n v="-5.8039237794565333"/>
    <x v="4"/>
    <n v="2023"/>
  </r>
  <r>
    <n v="1098"/>
    <d v="2023-07-24T00:00:00"/>
    <s v="Alice"/>
    <x v="2"/>
    <n v="8188.04"/>
    <n v="19"/>
    <x v="3"/>
    <n v="4055.51"/>
    <n v="4258.84"/>
    <s v="Returning"/>
    <n v="0.03"/>
    <s v="Credit Card"/>
    <s v="Online"/>
    <x v="9"/>
    <n v="77054.69"/>
    <n v="-68866.650000000009"/>
    <n v="-8.4106391761642598"/>
    <x v="11"/>
    <n v="2023"/>
  </r>
  <r>
    <n v="1082"/>
    <d v="2023-07-28T00:00:00"/>
    <s v="Alice"/>
    <x v="3"/>
    <n v="8540.2199999999993"/>
    <n v="48"/>
    <x v="1"/>
    <n v="3380.52"/>
    <n v="3778.94"/>
    <s v="Returning"/>
    <n v="0.3"/>
    <s v="Bank Transfer"/>
    <s v="Online"/>
    <x v="18"/>
    <n v="162264.95999999999"/>
    <n v="-153724.74"/>
    <n v="-18.000091332541786"/>
    <x v="11"/>
    <n v="2023"/>
  </r>
  <r>
    <n v="1030"/>
    <d v="2023-03-13T00:00:00"/>
    <s v="Alice"/>
    <x v="0"/>
    <n v="9385.86"/>
    <n v="39"/>
    <x v="1"/>
    <n v="2511.2800000000002"/>
    <n v="2658.06"/>
    <s v="New"/>
    <n v="0.19"/>
    <s v="Credit Card"/>
    <s v="Retail"/>
    <x v="15"/>
    <n v="97939.920000000013"/>
    <n v="-88554.060000000012"/>
    <n v="-9.4348370847210603"/>
    <x v="4"/>
    <n v="2023"/>
  </r>
  <r>
    <n v="1079"/>
    <d v="2023-10-04T00:00:00"/>
    <s v="Eve"/>
    <x v="3"/>
    <n v="942.52"/>
    <n v="12"/>
    <x v="1"/>
    <n v="4754.0200000000004"/>
    <n v="5080.74"/>
    <s v="New"/>
    <n v="0.2"/>
    <s v="Cash"/>
    <s v="Online"/>
    <x v="14"/>
    <n v="57048.240000000005"/>
    <n v="-56105.720000000008"/>
    <n v="-59.527352204727762"/>
    <x v="7"/>
    <n v="2023"/>
  </r>
  <r>
    <n v="1091"/>
    <d v="2023-10-01T00:00:00"/>
    <s v="Eve"/>
    <x v="3"/>
    <n v="3917.42"/>
    <n v="15"/>
    <x v="3"/>
    <n v="1534.7"/>
    <n v="1972.62"/>
    <s v="Returning"/>
    <n v="0.06"/>
    <s v="Credit Card"/>
    <s v="Retail"/>
    <x v="14"/>
    <n v="23020.5"/>
    <n v="-19103.080000000002"/>
    <n v="-4.876444190308928"/>
    <x v="7"/>
    <n v="2023"/>
  </r>
  <r>
    <n v="1051"/>
    <d v="2023-11-16T00:00:00"/>
    <s v="Bob"/>
    <x v="1"/>
    <n v="803.25"/>
    <n v="31"/>
    <x v="0"/>
    <n v="144.88"/>
    <n v="175.29"/>
    <s v="New"/>
    <n v="7.0000000000000007E-2"/>
    <s v="Bank Transfer"/>
    <s v="Online"/>
    <x v="1"/>
    <n v="4491.28"/>
    <n v="-3688.0299999999997"/>
    <n v="-4.5913849984438215"/>
    <x v="8"/>
    <n v="2023"/>
  </r>
  <r>
    <n v="1063"/>
    <d v="2023-12-04T00:00:00"/>
    <s v="David"/>
    <x v="2"/>
    <n v="2186.85"/>
    <n v="14"/>
    <x v="2"/>
    <n v="2188.35"/>
    <n v="2605.3599999999901"/>
    <s v="Returning"/>
    <n v="0.2"/>
    <s v="Credit Card"/>
    <s v="Retail"/>
    <x v="2"/>
    <n v="30636.899999999998"/>
    <n v="-28450.05"/>
    <n v="-13.009602853419302"/>
    <x v="9"/>
    <n v="2023"/>
  </r>
  <r>
    <n v="1098"/>
    <d v="2024-01-01T00:00:00"/>
    <s v="Bob"/>
    <x v="2"/>
    <n v="2370.7199999999998"/>
    <n v="11"/>
    <x v="2"/>
    <n v="213.41"/>
    <n v="503.36"/>
    <s v="Returning"/>
    <n v="0.27"/>
    <s v="Bank Transfer"/>
    <s v="Online"/>
    <x v="3"/>
    <n v="2347.5099999999998"/>
    <n v="23.210000000000036"/>
    <n v="9.7902746844840544E-3"/>
    <x v="5"/>
    <n v="2024"/>
  </r>
  <r>
    <n v="1052"/>
    <d v="2023-04-05T00:00:00"/>
    <s v="Charlie"/>
    <x v="2"/>
    <n v="4744.16"/>
    <n v="26"/>
    <x v="2"/>
    <n v="4771.99"/>
    <n v="5079.6499999999996"/>
    <s v="New"/>
    <n v="0.28999999999999998"/>
    <s v="Credit Card"/>
    <s v="Online"/>
    <x v="10"/>
    <n v="124071.73999999999"/>
    <n v="-119327.57999999999"/>
    <n v="-25.152520151091025"/>
    <x v="1"/>
    <n v="2023"/>
  </r>
  <r>
    <n v="1038"/>
    <d v="2023-06-15T00:00:00"/>
    <s v="Alice"/>
    <x v="1"/>
    <n v="2758.77"/>
    <n v="42"/>
    <x v="1"/>
    <n v="1089.0899999999999"/>
    <n v="1355.44"/>
    <s v="New"/>
    <n v="0.06"/>
    <s v="Cash"/>
    <s v="Retail"/>
    <x v="17"/>
    <n v="45741.78"/>
    <n v="-42983.01"/>
    <n v="-15.580497830554922"/>
    <x v="6"/>
    <n v="2023"/>
  </r>
  <r>
    <n v="1097"/>
    <d v="2023-02-01T00:00:00"/>
    <s v="Alice"/>
    <x v="1"/>
    <n v="1099.68"/>
    <n v="27"/>
    <x v="3"/>
    <n v="3955.19"/>
    <n v="4393.68"/>
    <s v="Returning"/>
    <n v="0.04"/>
    <s v="Credit Card"/>
    <s v="Online"/>
    <x v="17"/>
    <n v="106790.13"/>
    <n v="-105690.45000000001"/>
    <n v="-96.110186599738114"/>
    <x v="0"/>
    <n v="2023"/>
  </r>
  <r>
    <n v="1088"/>
    <d v="2023-01-11T00:00:00"/>
    <s v="Alice"/>
    <x v="2"/>
    <n v="1758.16"/>
    <n v="11"/>
    <x v="1"/>
    <n v="3884.13"/>
    <n v="3915.41"/>
    <s v="Returning"/>
    <n v="0.02"/>
    <s v="Cash"/>
    <s v="Online"/>
    <x v="9"/>
    <n v="42725.43"/>
    <n v="-40967.269999999997"/>
    <n v="-23.301218319151836"/>
    <x v="5"/>
    <n v="2023"/>
  </r>
  <r>
    <n v="1079"/>
    <d v="2023-10-28T00:00:00"/>
    <s v="Bob"/>
    <x v="1"/>
    <n v="1558.03"/>
    <n v="38"/>
    <x v="0"/>
    <n v="1127.76"/>
    <n v="1265.6600000000001"/>
    <s v="Returning"/>
    <n v="0.26"/>
    <s v="Bank Transfer"/>
    <s v="Retail"/>
    <x v="1"/>
    <n v="42854.879999999997"/>
    <n v="-41296.85"/>
    <n v="-26.505811826473174"/>
    <x v="7"/>
    <n v="2023"/>
  </r>
  <r>
    <n v="1030"/>
    <d v="2023-08-05T00:00:00"/>
    <s v="Bob"/>
    <x v="1"/>
    <n v="9733.4599999999991"/>
    <n v="34"/>
    <x v="3"/>
    <n v="3125.07"/>
    <n v="3564.19"/>
    <s v="Returning"/>
    <n v="0.09"/>
    <s v="Cash"/>
    <s v="Online"/>
    <x v="1"/>
    <n v="106252.38"/>
    <n v="-96518.920000000013"/>
    <n v="-9.9161983508433824"/>
    <x v="3"/>
    <n v="2023"/>
  </r>
  <r>
    <n v="1051"/>
    <d v="2023-10-16T00:00:00"/>
    <s v="Alice"/>
    <x v="1"/>
    <n v="7617"/>
    <n v="43"/>
    <x v="2"/>
    <n v="287.99"/>
    <n v="666.64"/>
    <s v="Returning"/>
    <n v="0"/>
    <s v="Bank Transfer"/>
    <s v="Online"/>
    <x v="17"/>
    <n v="12383.57"/>
    <n v="-4766.57"/>
    <n v="-0.6257804910069581"/>
    <x v="7"/>
    <n v="2023"/>
  </r>
  <r>
    <n v="1081"/>
    <d v="2023-04-12T00:00:00"/>
    <s v="Bob"/>
    <x v="2"/>
    <n v="9680.84"/>
    <n v="19"/>
    <x v="1"/>
    <n v="2443.69"/>
    <n v="2462.34"/>
    <s v="New"/>
    <n v="7.0000000000000007E-2"/>
    <s v="Bank Transfer"/>
    <s v="Retail"/>
    <x v="3"/>
    <n v="46430.11"/>
    <n v="-36749.270000000004"/>
    <n v="-3.7960827779407578"/>
    <x v="1"/>
    <n v="2023"/>
  </r>
  <r>
    <n v="1005"/>
    <d v="2023-09-24T00:00:00"/>
    <s v="Eve"/>
    <x v="2"/>
    <n v="4453.43"/>
    <n v="6"/>
    <x v="1"/>
    <n v="122.5"/>
    <n v="385.83"/>
    <s v="Returning"/>
    <n v="0.1"/>
    <s v="Cash"/>
    <s v="Retail"/>
    <x v="6"/>
    <n v="735"/>
    <n v="3718.4300000000003"/>
    <n v="0.8349586723042689"/>
    <x v="2"/>
    <n v="2023"/>
  </r>
  <r>
    <n v="1029"/>
    <d v="2023-08-02T00:00:00"/>
    <s v="Eve"/>
    <x v="2"/>
    <n v="2855.85"/>
    <n v="46"/>
    <x v="0"/>
    <n v="4609.66"/>
    <n v="4879.1499999999996"/>
    <s v="Returning"/>
    <n v="0.3"/>
    <s v="Cash"/>
    <s v="Retail"/>
    <x v="6"/>
    <n v="212044.36"/>
    <n v="-209188.50999999998"/>
    <n v="-73.249123728487135"/>
    <x v="3"/>
    <n v="2023"/>
  </r>
  <r>
    <n v="1004"/>
    <d v="2023-06-28T00:00:00"/>
    <s v="Bob"/>
    <x v="1"/>
    <n v="8003.1"/>
    <n v="38"/>
    <x v="0"/>
    <n v="4881.63"/>
    <n v="5088.0600000000004"/>
    <s v="Returning"/>
    <n v="0.16"/>
    <s v="Credit Card"/>
    <s v="Retail"/>
    <x v="1"/>
    <n v="185501.94"/>
    <n v="-177498.84"/>
    <n v="-22.178760730217039"/>
    <x v="6"/>
    <n v="2023"/>
  </r>
  <r>
    <n v="1010"/>
    <d v="2023-03-29T00:00:00"/>
    <s v="Alice"/>
    <x v="2"/>
    <n v="3329.91"/>
    <n v="49"/>
    <x v="1"/>
    <n v="1150.3"/>
    <n v="1306.02"/>
    <s v="New"/>
    <n v="0.06"/>
    <s v="Credit Card"/>
    <s v="Retail"/>
    <x v="9"/>
    <n v="56364.7"/>
    <n v="-53034.789999999994"/>
    <n v="-15.926793817250315"/>
    <x v="4"/>
    <n v="2023"/>
  </r>
  <r>
    <n v="1056"/>
    <d v="2023-02-10T00:00:00"/>
    <s v="Bob"/>
    <x v="1"/>
    <n v="3063.9"/>
    <n v="42"/>
    <x v="0"/>
    <n v="1080.1199999999999"/>
    <n v="1424.1699999999901"/>
    <s v="New"/>
    <n v="0.1"/>
    <s v="Cash"/>
    <s v="Online"/>
    <x v="1"/>
    <n v="45365.039999999994"/>
    <n v="-42301.139999999992"/>
    <n v="-13.806305688827962"/>
    <x v="0"/>
    <n v="2023"/>
  </r>
  <r>
    <n v="1017"/>
    <d v="2023-03-17T00:00:00"/>
    <s v="Bob"/>
    <x v="0"/>
    <n v="2401.81"/>
    <n v="28"/>
    <x v="2"/>
    <n v="3780.91"/>
    <n v="3892.73"/>
    <s v="Returning"/>
    <n v="0.1"/>
    <s v="Cash"/>
    <s v="Retail"/>
    <x v="0"/>
    <n v="105865.48"/>
    <n v="-103463.67"/>
    <n v="-43.07737497970281"/>
    <x v="4"/>
    <n v="2023"/>
  </r>
  <r>
    <n v="1074"/>
    <d v="2023-02-15T00:00:00"/>
    <s v="Bob"/>
    <x v="1"/>
    <n v="1383.82"/>
    <n v="1"/>
    <x v="0"/>
    <n v="1304.23"/>
    <n v="1705.71"/>
    <s v="Returning"/>
    <n v="0.01"/>
    <s v="Cash"/>
    <s v="Retail"/>
    <x v="1"/>
    <n v="1304.23"/>
    <n v="79.589999999999918"/>
    <n v="5.7514705669812489E-2"/>
    <x v="0"/>
    <n v="2023"/>
  </r>
  <r>
    <n v="1017"/>
    <d v="2023-06-09T00:00:00"/>
    <s v="Charlie"/>
    <x v="3"/>
    <n v="2638.98"/>
    <n v="35"/>
    <x v="0"/>
    <n v="4480.63"/>
    <n v="4884.12"/>
    <s v="New"/>
    <n v="0.04"/>
    <s v="Cash"/>
    <s v="Online"/>
    <x v="4"/>
    <n v="156822.05000000002"/>
    <n v="-154183.07"/>
    <n v="-58.425251422898242"/>
    <x v="6"/>
    <n v="2023"/>
  </r>
  <r>
    <n v="1084"/>
    <d v="2023-03-21T00:00:00"/>
    <s v="Eve"/>
    <x v="2"/>
    <n v="3617.67"/>
    <n v="40"/>
    <x v="1"/>
    <n v="2890.95"/>
    <n v="3104.43"/>
    <s v="New"/>
    <n v="0.21"/>
    <s v="Bank Transfer"/>
    <s v="Online"/>
    <x v="6"/>
    <n v="115638"/>
    <n v="-112020.33"/>
    <n v="-30.964772906318156"/>
    <x v="4"/>
    <n v="2023"/>
  </r>
  <r>
    <n v="1088"/>
    <d v="2023-11-06T00:00:00"/>
    <s v="David"/>
    <x v="2"/>
    <n v="6772.54"/>
    <n v="8"/>
    <x v="1"/>
    <n v="1786.35"/>
    <n v="1935.29"/>
    <s v="New"/>
    <n v="0.04"/>
    <s v="Cash"/>
    <s v="Online"/>
    <x v="2"/>
    <n v="14290.8"/>
    <n v="-7518.2599999999993"/>
    <n v="-1.1101093533593009"/>
    <x v="8"/>
    <n v="2023"/>
  </r>
  <r>
    <n v="1069"/>
    <d v="2023-03-27T00:00:00"/>
    <s v="David"/>
    <x v="3"/>
    <n v="719.39"/>
    <n v="47"/>
    <x v="3"/>
    <n v="4171.83"/>
    <n v="4320.93"/>
    <s v="New"/>
    <n v="7.0000000000000007E-2"/>
    <s v="Cash"/>
    <s v="Online"/>
    <x v="16"/>
    <n v="196076.01"/>
    <n v="-195356.62"/>
    <n v="-271.55870946218323"/>
    <x v="4"/>
    <n v="2023"/>
  </r>
  <r>
    <n v="1034"/>
    <d v="2023-04-02T00:00:00"/>
    <s v="Charlie"/>
    <x v="1"/>
    <n v="2184.02"/>
    <n v="7"/>
    <x v="3"/>
    <n v="2492.36"/>
    <n v="2738.68"/>
    <s v="Returning"/>
    <n v="0.11"/>
    <s v="Cash"/>
    <s v="Online"/>
    <x v="5"/>
    <n v="17446.52"/>
    <n v="-15262.5"/>
    <n v="-6.9882601807675755"/>
    <x v="1"/>
    <n v="2023"/>
  </r>
  <r>
    <n v="1006"/>
    <d v="2023-05-28T00:00:00"/>
    <s v="Bob"/>
    <x v="0"/>
    <n v="8109.33"/>
    <n v="11"/>
    <x v="1"/>
    <n v="4562.58"/>
    <n v="4925.17"/>
    <s v="New"/>
    <n v="0.23"/>
    <s v="Cash"/>
    <s v="Retail"/>
    <x v="0"/>
    <n v="50188.38"/>
    <n v="-42079.049999999996"/>
    <n v="-5.1889675225943446"/>
    <x v="10"/>
    <n v="2023"/>
  </r>
  <r>
    <n v="1053"/>
    <d v="2023-06-10T00:00:00"/>
    <s v="Charlie"/>
    <x v="3"/>
    <n v="1554.53"/>
    <n v="39"/>
    <x v="0"/>
    <n v="4643.67"/>
    <n v="4829.5200000000004"/>
    <s v="Returning"/>
    <n v="0.17"/>
    <s v="Bank Transfer"/>
    <s v="Online"/>
    <x v="4"/>
    <n v="181103.13"/>
    <n v="-179548.6"/>
    <n v="-115.50024766328087"/>
    <x v="6"/>
    <n v="2023"/>
  </r>
  <r>
    <n v="1066"/>
    <d v="2023-07-21T00:00:00"/>
    <s v="Charlie"/>
    <x v="3"/>
    <n v="3492.19"/>
    <n v="4"/>
    <x v="0"/>
    <n v="868.83"/>
    <n v="1177.75"/>
    <s v="Returning"/>
    <n v="0.21"/>
    <s v="Credit Card"/>
    <s v="Retail"/>
    <x v="4"/>
    <n v="3475.32"/>
    <n v="16.869999999999891"/>
    <n v="4.8307795394866519E-3"/>
    <x v="11"/>
    <n v="2023"/>
  </r>
  <r>
    <n v="1077"/>
    <d v="2023-08-30T00:00:00"/>
    <s v="Alice"/>
    <x v="1"/>
    <n v="8660.1200000000008"/>
    <n v="25"/>
    <x v="3"/>
    <n v="61.5"/>
    <n v="258.91999999999899"/>
    <s v="New"/>
    <n v="0.17"/>
    <s v="Credit Card"/>
    <s v="Online"/>
    <x v="17"/>
    <n v="1537.5"/>
    <n v="7122.6200000000008"/>
    <n v="0.82246204440585124"/>
    <x v="3"/>
    <n v="2023"/>
  </r>
  <r>
    <n v="1043"/>
    <d v="2023-12-19T00:00:00"/>
    <s v="Eve"/>
    <x v="2"/>
    <n v="1633.76"/>
    <n v="12"/>
    <x v="3"/>
    <n v="4920.46"/>
    <n v="5079.68"/>
    <s v="New"/>
    <n v="0.21"/>
    <s v="Credit Card"/>
    <s v="Retail"/>
    <x v="6"/>
    <n v="59045.520000000004"/>
    <n v="-57411.76"/>
    <n v="-35.140877485065126"/>
    <x v="9"/>
    <n v="2023"/>
  </r>
  <r>
    <n v="1075"/>
    <d v="2023-01-02T00:00:00"/>
    <s v="David"/>
    <x v="1"/>
    <n v="919.09"/>
    <n v="26"/>
    <x v="3"/>
    <n v="4535.38"/>
    <n v="4557.5600000000004"/>
    <s v="New"/>
    <n v="0"/>
    <s v="Credit Card"/>
    <s v="Online"/>
    <x v="13"/>
    <n v="117919.88"/>
    <n v="-117000.79000000001"/>
    <n v="-127.30068872471685"/>
    <x v="5"/>
    <n v="2023"/>
  </r>
  <r>
    <n v="1023"/>
    <d v="2023-08-13T00:00:00"/>
    <s v="Bob"/>
    <x v="3"/>
    <n v="4896.93"/>
    <n v="38"/>
    <x v="2"/>
    <n v="324.45"/>
    <n v="336.37"/>
    <s v="New"/>
    <n v="0.28000000000000003"/>
    <s v="Credit Card"/>
    <s v="Retail"/>
    <x v="12"/>
    <n v="12329.1"/>
    <n v="-7432.17"/>
    <n v="-1.5177202859750905"/>
    <x v="3"/>
    <n v="2023"/>
  </r>
  <r>
    <n v="1055"/>
    <d v="2023-10-16T00:00:00"/>
    <s v="David"/>
    <x v="3"/>
    <n v="3093.95"/>
    <n v="46"/>
    <x v="2"/>
    <n v="4173.5200000000004"/>
    <n v="4294.8500000000004"/>
    <s v="Returning"/>
    <n v="0.03"/>
    <s v="Bank Transfer"/>
    <s v="Retail"/>
    <x v="16"/>
    <n v="191981.92"/>
    <n v="-188887.97"/>
    <n v="-61.050750658543294"/>
    <x v="7"/>
    <n v="2023"/>
  </r>
  <r>
    <n v="1080"/>
    <d v="2023-08-21T00:00:00"/>
    <s v="David"/>
    <x v="2"/>
    <n v="5677.74"/>
    <n v="12"/>
    <x v="3"/>
    <n v="2316.13"/>
    <n v="2525.27"/>
    <s v="Returning"/>
    <n v="0.12"/>
    <s v="Credit Card"/>
    <s v="Retail"/>
    <x v="2"/>
    <n v="27793.56"/>
    <n v="-22115.82"/>
    <n v="-3.8951801244861515"/>
    <x v="3"/>
    <n v="2023"/>
  </r>
  <r>
    <n v="1095"/>
    <d v="2023-03-18T00:00:00"/>
    <s v="Eve"/>
    <x v="2"/>
    <n v="8057.67"/>
    <n v="43"/>
    <x v="0"/>
    <n v="1331.86"/>
    <n v="1758.98"/>
    <s v="Returning"/>
    <n v="0.23"/>
    <s v="Bank Transfer"/>
    <s v="Retail"/>
    <x v="6"/>
    <n v="57269.979999999996"/>
    <n v="-49212.31"/>
    <n v="-6.1075112284320401"/>
    <x v="4"/>
    <n v="2023"/>
  </r>
  <r>
    <n v="1075"/>
    <d v="2023-04-26T00:00:00"/>
    <s v="David"/>
    <x v="2"/>
    <n v="1457.77"/>
    <n v="37"/>
    <x v="3"/>
    <n v="4399.8"/>
    <n v="4801.0600000000004"/>
    <s v="New"/>
    <n v="0.13"/>
    <s v="Bank Transfer"/>
    <s v="Retail"/>
    <x v="2"/>
    <n v="162792.6"/>
    <n v="-161334.83000000002"/>
    <n v="-110.67234886161741"/>
    <x v="1"/>
    <n v="2023"/>
  </r>
  <r>
    <n v="1016"/>
    <d v="2023-06-03T00:00:00"/>
    <s v="David"/>
    <x v="1"/>
    <n v="5848.92"/>
    <n v="46"/>
    <x v="2"/>
    <n v="1023.5"/>
    <n v="1164.4100000000001"/>
    <s v="Returning"/>
    <n v="0.28000000000000003"/>
    <s v="Credit Card"/>
    <s v="Retail"/>
    <x v="13"/>
    <n v="47081"/>
    <n v="-41232.080000000002"/>
    <n v="-7.0495202533117229"/>
    <x v="6"/>
    <n v="2023"/>
  </r>
  <r>
    <n v="1008"/>
    <d v="2023-04-13T00:00:00"/>
    <s v="Charlie"/>
    <x v="2"/>
    <n v="5104.54"/>
    <n v="24"/>
    <x v="0"/>
    <n v="4739.13"/>
    <n v="4868.95"/>
    <s v="New"/>
    <n v="0.14000000000000001"/>
    <s v="Credit Card"/>
    <s v="Retail"/>
    <x v="10"/>
    <n v="113739.12"/>
    <n v="-108634.58"/>
    <n v="-21.281952928177663"/>
    <x v="1"/>
    <n v="2023"/>
  </r>
  <r>
    <n v="1004"/>
    <d v="2023-07-13T00:00:00"/>
    <s v="Eve"/>
    <x v="3"/>
    <n v="1526.38"/>
    <n v="16"/>
    <x v="2"/>
    <n v="1067.83"/>
    <n v="1189.22"/>
    <s v="Returning"/>
    <n v="0.26"/>
    <s v="Credit Card"/>
    <s v="Retail"/>
    <x v="14"/>
    <n v="17085.28"/>
    <n v="-15558.899999999998"/>
    <n v="-10.193333245980684"/>
    <x v="11"/>
    <n v="2023"/>
  </r>
  <r>
    <n v="1004"/>
    <d v="2023-06-15T00:00:00"/>
    <s v="Alice"/>
    <x v="3"/>
    <n v="6277.59"/>
    <n v="13"/>
    <x v="0"/>
    <n v="3087.73"/>
    <n v="3263.96"/>
    <s v="New"/>
    <n v="0.24"/>
    <s v="Cash"/>
    <s v="Retail"/>
    <x v="18"/>
    <n v="40140.49"/>
    <n v="-33862.899999999994"/>
    <n v="-5.3942516156677947"/>
    <x v="6"/>
    <n v="2023"/>
  </r>
  <r>
    <n v="1056"/>
    <d v="2023-12-25T00:00:00"/>
    <s v="Bob"/>
    <x v="0"/>
    <n v="2809.04"/>
    <n v="25"/>
    <x v="2"/>
    <n v="1154.28"/>
    <n v="1408.4"/>
    <s v="Returning"/>
    <n v="0.28999999999999998"/>
    <s v="Bank Transfer"/>
    <s v="Retail"/>
    <x v="0"/>
    <n v="28857"/>
    <n v="-26047.96"/>
    <n v="-9.2729046222196914"/>
    <x v="9"/>
    <n v="2023"/>
  </r>
  <r>
    <n v="1025"/>
    <d v="2023-03-31T00:00:00"/>
    <s v="David"/>
    <x v="1"/>
    <n v="4929.5600000000004"/>
    <n v="4"/>
    <x v="0"/>
    <n v="2751.06"/>
    <n v="2976.0099999999902"/>
    <s v="Returning"/>
    <n v="0.28000000000000003"/>
    <s v="Credit Card"/>
    <s v="Online"/>
    <x v="13"/>
    <n v="11004.24"/>
    <n v="-6074.6799999999994"/>
    <n v="-1.2322965944222199"/>
    <x v="4"/>
    <n v="2023"/>
  </r>
  <r>
    <n v="1067"/>
    <d v="2023-06-23T00:00:00"/>
    <s v="Bob"/>
    <x v="0"/>
    <n v="914.5"/>
    <n v="11"/>
    <x v="0"/>
    <n v="3435.68"/>
    <n v="3552.6299999999901"/>
    <s v="New"/>
    <n v="0.27"/>
    <s v="Cash"/>
    <s v="Retail"/>
    <x v="0"/>
    <n v="37792.479999999996"/>
    <n v="-36877.979999999996"/>
    <n v="-40.325839256424274"/>
    <x v="6"/>
    <n v="2023"/>
  </r>
  <r>
    <n v="1096"/>
    <d v="2023-05-02T00:00:00"/>
    <s v="Alice"/>
    <x v="3"/>
    <n v="4649.88"/>
    <n v="32"/>
    <x v="0"/>
    <n v="991.63"/>
    <n v="1065.55"/>
    <s v="Returning"/>
    <n v="0.22"/>
    <s v="Bank Transfer"/>
    <s v="Retail"/>
    <x v="18"/>
    <n v="31732.16"/>
    <n v="-27082.28"/>
    <n v="-5.8242965409860039"/>
    <x v="10"/>
    <n v="2023"/>
  </r>
  <r>
    <n v="1067"/>
    <d v="2023-05-23T00:00:00"/>
    <s v="Bob"/>
    <x v="0"/>
    <n v="3133.99"/>
    <n v="49"/>
    <x v="0"/>
    <n v="2628.38"/>
    <n v="2644.54"/>
    <s v="Returning"/>
    <n v="0.11"/>
    <s v="Cash"/>
    <s v="Online"/>
    <x v="0"/>
    <n v="128790.62000000001"/>
    <n v="-125656.63"/>
    <n v="-40.094776945682668"/>
    <x v="10"/>
    <n v="2023"/>
  </r>
  <r>
    <n v="1027"/>
    <d v="2023-04-16T00:00:00"/>
    <s v="Alice"/>
    <x v="3"/>
    <n v="8241.57"/>
    <n v="7"/>
    <x v="1"/>
    <n v="2371.85"/>
    <n v="2457.29"/>
    <s v="New"/>
    <n v="0.03"/>
    <s v="Cash"/>
    <s v="Retail"/>
    <x v="18"/>
    <n v="16602.95"/>
    <n v="-8361.380000000001"/>
    <n v="-1.0145372786981124"/>
    <x v="1"/>
    <n v="2023"/>
  </r>
  <r>
    <n v="1093"/>
    <d v="2023-11-01T00:00:00"/>
    <s v="Charlie"/>
    <x v="0"/>
    <n v="664.09"/>
    <n v="46"/>
    <x v="2"/>
    <n v="401.64"/>
    <n v="757.26"/>
    <s v="New"/>
    <n v="0.21"/>
    <s v="Credit Card"/>
    <s v="Retail"/>
    <x v="19"/>
    <n v="18475.439999999999"/>
    <n v="-17811.349999999999"/>
    <n v="-26.820686955081385"/>
    <x v="8"/>
    <n v="2023"/>
  </r>
  <r>
    <n v="1032"/>
    <d v="2023-12-26T00:00:00"/>
    <s v="David"/>
    <x v="2"/>
    <n v="4244.21"/>
    <n v="11"/>
    <x v="2"/>
    <n v="4100.62"/>
    <n v="4230"/>
    <s v="New"/>
    <n v="0.28999999999999998"/>
    <s v="Bank Transfer"/>
    <s v="Online"/>
    <x v="2"/>
    <n v="45106.82"/>
    <n v="-40862.61"/>
    <n v="-9.6278482921438862"/>
    <x v="9"/>
    <n v="2023"/>
  </r>
  <r>
    <n v="1050"/>
    <d v="2023-11-13T00:00:00"/>
    <s v="Alice"/>
    <x v="0"/>
    <n v="4638.47"/>
    <n v="28"/>
    <x v="1"/>
    <n v="1711.63"/>
    <n v="1951.24"/>
    <s v="New"/>
    <n v="0.22"/>
    <s v="Cash"/>
    <s v="Online"/>
    <x v="15"/>
    <n v="47925.64"/>
    <n v="-43287.17"/>
    <n v="-9.3322086808796865"/>
    <x v="8"/>
    <n v="2023"/>
  </r>
  <r>
    <n v="1061"/>
    <d v="2023-05-03T00:00:00"/>
    <s v="Bob"/>
    <x v="2"/>
    <n v="7277.56"/>
    <n v="41"/>
    <x v="0"/>
    <n v="2894.18"/>
    <n v="3193.92"/>
    <s v="New"/>
    <n v="0.28000000000000003"/>
    <s v="Bank Transfer"/>
    <s v="Retail"/>
    <x v="3"/>
    <n v="118661.37999999999"/>
    <n v="-111383.81999999999"/>
    <n v="-15.305105007722366"/>
    <x v="10"/>
    <n v="2023"/>
  </r>
  <r>
    <n v="1051"/>
    <d v="2023-01-09T00:00:00"/>
    <s v="David"/>
    <x v="2"/>
    <n v="5785.45"/>
    <n v="23"/>
    <x v="0"/>
    <n v="2598.1799999999998"/>
    <n v="3042.73"/>
    <s v="Returning"/>
    <n v="0.24"/>
    <s v="Credit Card"/>
    <s v="Online"/>
    <x v="2"/>
    <n v="59758.14"/>
    <n v="-53972.69"/>
    <n v="-9.3290392277178107"/>
    <x v="5"/>
    <n v="2023"/>
  </r>
  <r>
    <n v="1019"/>
    <d v="2023-09-19T00:00:00"/>
    <s v="Charlie"/>
    <x v="1"/>
    <n v="6705.4"/>
    <n v="45"/>
    <x v="2"/>
    <n v="2590.64"/>
    <n v="3036.18"/>
    <s v="New"/>
    <n v="0.05"/>
    <s v="Bank Transfer"/>
    <s v="Retail"/>
    <x v="5"/>
    <n v="116578.79999999999"/>
    <n v="-109873.4"/>
    <n v="-16.385808452888718"/>
    <x v="2"/>
    <n v="2023"/>
  </r>
  <r>
    <n v="1021"/>
    <d v="2023-03-14T00:00:00"/>
    <s v="David"/>
    <x v="2"/>
    <n v="7792.79"/>
    <n v="23"/>
    <x v="1"/>
    <n v="580.75"/>
    <n v="956.16"/>
    <s v="Returning"/>
    <n v="7.0000000000000007E-2"/>
    <s v="Cash"/>
    <s v="Retail"/>
    <x v="2"/>
    <n v="13357.25"/>
    <n v="-5564.46"/>
    <n v="-0.71405234838870291"/>
    <x v="4"/>
    <n v="2023"/>
  </r>
  <r>
    <n v="1005"/>
    <d v="2023-12-25T00:00:00"/>
    <s v="Alice"/>
    <x v="2"/>
    <n v="8635.81"/>
    <n v="28"/>
    <x v="0"/>
    <n v="2146.2399999999998"/>
    <n v="2173.4699999999998"/>
    <s v="Returning"/>
    <n v="0.1"/>
    <s v="Cash"/>
    <s v="Retail"/>
    <x v="9"/>
    <n v="60094.719999999994"/>
    <n v="-51458.909999999996"/>
    <n v="-5.9587820945574297"/>
    <x v="9"/>
    <n v="2023"/>
  </r>
  <r>
    <n v="1082"/>
    <d v="2023-08-11T00:00:00"/>
    <s v="Charlie"/>
    <x v="0"/>
    <n v="3207.37"/>
    <n v="43"/>
    <x v="0"/>
    <n v="2289.2199999999998"/>
    <n v="2581"/>
    <s v="New"/>
    <n v="0.05"/>
    <s v="Bank Transfer"/>
    <s v="Online"/>
    <x v="19"/>
    <n v="98436.459999999992"/>
    <n v="-95229.09"/>
    <n v="-29.690709210349912"/>
    <x v="3"/>
    <n v="2023"/>
  </r>
  <r>
    <n v="1092"/>
    <d v="2023-02-10T00:00:00"/>
    <s v="Bob"/>
    <x v="3"/>
    <n v="5426.42"/>
    <n v="47"/>
    <x v="0"/>
    <n v="3681.53"/>
    <n v="4076.96"/>
    <s v="Returning"/>
    <n v="0.17"/>
    <s v="Cash"/>
    <s v="Retail"/>
    <x v="12"/>
    <n v="173031.91"/>
    <n v="-167605.49"/>
    <n v="-30.886936506941961"/>
    <x v="0"/>
    <n v="2023"/>
  </r>
  <r>
    <n v="1042"/>
    <d v="2023-07-23T00:00:00"/>
    <s v="Charlie"/>
    <x v="1"/>
    <n v="8417.07"/>
    <n v="26"/>
    <x v="3"/>
    <n v="4208.09"/>
    <n v="4226.5600000000004"/>
    <s v="Returning"/>
    <n v="0.28999999999999998"/>
    <s v="Cash"/>
    <s v="Retail"/>
    <x v="5"/>
    <n v="109410.34"/>
    <n v="-100993.26999999999"/>
    <n v="-11.998625412405978"/>
    <x v="11"/>
    <n v="2023"/>
  </r>
  <r>
    <n v="1061"/>
    <d v="2023-09-21T00:00:00"/>
    <s v="Charlie"/>
    <x v="2"/>
    <n v="9895.57"/>
    <n v="25"/>
    <x v="1"/>
    <n v="2747.66"/>
    <n v="3027.0099999999902"/>
    <s v="New"/>
    <n v="0.23"/>
    <s v="Cash"/>
    <s v="Online"/>
    <x v="10"/>
    <n v="68691.5"/>
    <n v="-58795.93"/>
    <n v="-5.9416415628407462"/>
    <x v="2"/>
    <n v="2023"/>
  </r>
  <r>
    <n v="1022"/>
    <d v="2023-11-24T00:00:00"/>
    <s v="Eve"/>
    <x v="1"/>
    <n v="8906.24"/>
    <n v="29"/>
    <x v="0"/>
    <n v="479.58"/>
    <n v="909.88"/>
    <s v="Returning"/>
    <n v="0.13"/>
    <s v="Credit Card"/>
    <s v="Retail"/>
    <x v="8"/>
    <n v="13907.82"/>
    <n v="-5001.58"/>
    <n v="-0.56158154282839901"/>
    <x v="8"/>
    <n v="2023"/>
  </r>
  <r>
    <n v="1021"/>
    <d v="2023-06-27T00:00:00"/>
    <s v="Charlie"/>
    <x v="0"/>
    <n v="3777.53"/>
    <n v="19"/>
    <x v="3"/>
    <n v="1222.4000000000001"/>
    <n v="1464.71"/>
    <s v="New"/>
    <n v="0"/>
    <s v="Credit Card"/>
    <s v="Retail"/>
    <x v="19"/>
    <n v="23225.600000000002"/>
    <n v="-19448.070000000003"/>
    <n v="-5.1483562010096549"/>
    <x v="6"/>
    <n v="2023"/>
  </r>
  <r>
    <n v="1070"/>
    <d v="2023-12-14T00:00:00"/>
    <s v="Charlie"/>
    <x v="2"/>
    <n v="2032.15"/>
    <n v="33"/>
    <x v="1"/>
    <n v="866.42"/>
    <n v="878.43"/>
    <s v="New"/>
    <n v="0.09"/>
    <s v="Cash"/>
    <s v="Retail"/>
    <x v="10"/>
    <n v="28591.859999999997"/>
    <n v="-26559.709999999995"/>
    <n v="-13.069758630022386"/>
    <x v="9"/>
    <n v="2023"/>
  </r>
  <r>
    <n v="1001"/>
    <d v="2023-11-14T00:00:00"/>
    <s v="David"/>
    <x v="0"/>
    <n v="4944.99"/>
    <n v="36"/>
    <x v="0"/>
    <n v="666.84"/>
    <n v="682.24"/>
    <s v="New"/>
    <n v="0.16"/>
    <s v="Bank Transfer"/>
    <s v="Retail"/>
    <x v="11"/>
    <n v="24006.240000000002"/>
    <n v="-19061.25"/>
    <n v="-3.8546589578543133"/>
    <x v="8"/>
    <n v="2023"/>
  </r>
  <r>
    <n v="1005"/>
    <d v="2023-03-25T00:00:00"/>
    <s v="Bob"/>
    <x v="1"/>
    <n v="7442.25"/>
    <n v="14"/>
    <x v="2"/>
    <n v="1861.2"/>
    <n v="2075.35"/>
    <s v="Returning"/>
    <n v="0.1"/>
    <s v="Credit Card"/>
    <s v="Retail"/>
    <x v="1"/>
    <n v="26056.799999999999"/>
    <n v="-18614.55"/>
    <n v="-2.5011992341025899"/>
    <x v="4"/>
    <n v="2023"/>
  </r>
  <r>
    <n v="1012"/>
    <d v="2023-11-14T00:00:00"/>
    <s v="David"/>
    <x v="0"/>
    <n v="4976.43"/>
    <n v="14"/>
    <x v="3"/>
    <n v="1185.5"/>
    <n v="1271.45"/>
    <s v="Returning"/>
    <n v="0.03"/>
    <s v="Bank Transfer"/>
    <s v="Retail"/>
    <x v="11"/>
    <n v="16597"/>
    <n v="-11620.57"/>
    <n v="-2.3351217639954744"/>
    <x v="8"/>
    <n v="2023"/>
  </r>
  <r>
    <n v="1090"/>
    <d v="2023-04-21T00:00:00"/>
    <s v="David"/>
    <x v="1"/>
    <n v="4883.49"/>
    <n v="35"/>
    <x v="3"/>
    <n v="1130.5999999999999"/>
    <n v="1466.1799999999901"/>
    <s v="Returning"/>
    <n v="0.13"/>
    <s v="Cash"/>
    <s v="Online"/>
    <x v="13"/>
    <n v="39571"/>
    <n v="-34687.51"/>
    <n v="-7.1030164902559445"/>
    <x v="1"/>
    <n v="2023"/>
  </r>
  <r>
    <n v="1046"/>
    <d v="2023-09-08T00:00:00"/>
    <s v="Alice"/>
    <x v="0"/>
    <n v="8398.48"/>
    <n v="30"/>
    <x v="0"/>
    <n v="320.73"/>
    <n v="678.04"/>
    <s v="Returning"/>
    <n v="0.08"/>
    <s v="Cash"/>
    <s v="Retail"/>
    <x v="15"/>
    <n v="9621.9000000000015"/>
    <n v="-1223.4200000000019"/>
    <n v="-0.14567159771768248"/>
    <x v="2"/>
    <n v="2023"/>
  </r>
  <r>
    <n v="1034"/>
    <d v="2023-01-07T00:00:00"/>
    <s v="David"/>
    <x v="1"/>
    <n v="3677.9"/>
    <n v="28"/>
    <x v="0"/>
    <n v="137.47"/>
    <n v="234.63"/>
    <s v="New"/>
    <n v="0.27"/>
    <s v="Bank Transfer"/>
    <s v="Retail"/>
    <x v="13"/>
    <n v="3849.16"/>
    <n v="-171.25999999999976"/>
    <n v="-4.6564615677424551E-2"/>
    <x v="5"/>
    <n v="2023"/>
  </r>
  <r>
    <n v="1049"/>
    <d v="2023-03-25T00:00:00"/>
    <s v="Eve"/>
    <x v="3"/>
    <n v="8611.9699999999993"/>
    <n v="17"/>
    <x v="3"/>
    <n v="558.70000000000005"/>
    <n v="1004.08"/>
    <s v="Returning"/>
    <n v="0.03"/>
    <s v="Credit Card"/>
    <s v="Online"/>
    <x v="14"/>
    <n v="9497.9000000000015"/>
    <n v="-885.93000000000211"/>
    <n v="-0.10287193290269267"/>
    <x v="4"/>
    <n v="2023"/>
  </r>
  <r>
    <n v="1078"/>
    <d v="2023-07-27T00:00:00"/>
    <s v="Eve"/>
    <x v="0"/>
    <n v="4127.37"/>
    <n v="3"/>
    <x v="2"/>
    <n v="902.38"/>
    <n v="1128.9100000000001"/>
    <s v="New"/>
    <n v="0.01"/>
    <s v="Bank Transfer"/>
    <s v="Retail"/>
    <x v="7"/>
    <n v="2707.14"/>
    <n v="1420.23"/>
    <n v="0.34410048045123165"/>
    <x v="11"/>
    <n v="2023"/>
  </r>
  <r>
    <n v="1090"/>
    <d v="2023-11-10T00:00:00"/>
    <s v="Alice"/>
    <x v="0"/>
    <n v="3349.51"/>
    <n v="16"/>
    <x v="2"/>
    <n v="2183.37"/>
    <n v="2263.3599999999901"/>
    <s v="Returning"/>
    <n v="0"/>
    <s v="Bank Transfer"/>
    <s v="Retail"/>
    <x v="15"/>
    <n v="34933.919999999998"/>
    <n v="-31584.409999999996"/>
    <n v="-9.4295613388226922"/>
    <x v="8"/>
    <n v="2023"/>
  </r>
  <r>
    <n v="1045"/>
    <d v="2023-01-22T00:00:00"/>
    <s v="Bob"/>
    <x v="3"/>
    <n v="4594.5"/>
    <n v="46"/>
    <x v="1"/>
    <n v="2577.08"/>
    <n v="2961.56"/>
    <s v="Returning"/>
    <n v="0.1"/>
    <s v="Cash"/>
    <s v="Online"/>
    <x v="12"/>
    <n v="118545.68"/>
    <n v="-113951.18"/>
    <n v="-24.801649798672322"/>
    <x v="5"/>
    <n v="2023"/>
  </r>
  <r>
    <n v="1027"/>
    <d v="2023-01-03T00:00:00"/>
    <s v="Bob"/>
    <x v="3"/>
    <n v="7648.22"/>
    <n v="30"/>
    <x v="0"/>
    <n v="745.93"/>
    <n v="1143.02"/>
    <s v="Returning"/>
    <n v="0.2"/>
    <s v="Credit Card"/>
    <s v="Online"/>
    <x v="12"/>
    <n v="22377.899999999998"/>
    <n v="-14729.679999999997"/>
    <n v="-1.9258964831032575"/>
    <x v="5"/>
    <n v="2023"/>
  </r>
  <r>
    <n v="1073"/>
    <d v="2023-05-07T00:00:00"/>
    <s v="David"/>
    <x v="0"/>
    <n v="1347.42"/>
    <n v="29"/>
    <x v="2"/>
    <n v="2152.6799999999998"/>
    <n v="2475.9299999999998"/>
    <s v="Returning"/>
    <n v="0.22"/>
    <s v="Bank Transfer"/>
    <s v="Online"/>
    <x v="11"/>
    <n v="62427.719999999994"/>
    <n v="-61080.299999999996"/>
    <n v="-45.331299817428857"/>
    <x v="10"/>
    <n v="2023"/>
  </r>
  <r>
    <n v="1026"/>
    <d v="2023-10-24T00:00:00"/>
    <s v="David"/>
    <x v="3"/>
    <n v="2044.55"/>
    <n v="45"/>
    <x v="1"/>
    <n v="1741.66"/>
    <n v="2169.86"/>
    <s v="Returning"/>
    <n v="0.14000000000000001"/>
    <s v="Credit Card"/>
    <s v="Online"/>
    <x v="16"/>
    <n v="78374.7"/>
    <n v="-76330.149999999994"/>
    <n v="-37.333471913134915"/>
    <x v="7"/>
    <n v="2023"/>
  </r>
  <r>
    <n v="1047"/>
    <d v="2023-07-07T00:00:00"/>
    <s v="David"/>
    <x v="2"/>
    <n v="9519.2999999999993"/>
    <n v="15"/>
    <x v="2"/>
    <n v="957.95"/>
    <n v="1329.26"/>
    <s v="New"/>
    <n v="0.21"/>
    <s v="Cash"/>
    <s v="Online"/>
    <x v="2"/>
    <n v="14369.25"/>
    <n v="-4849.9500000000007"/>
    <n v="-0.50948599161703079"/>
    <x v="11"/>
    <n v="2023"/>
  </r>
  <r>
    <n v="1086"/>
    <d v="2023-12-28T00:00:00"/>
    <s v="Bob"/>
    <x v="1"/>
    <n v="1837.37"/>
    <n v="46"/>
    <x v="0"/>
    <n v="83.86"/>
    <n v="526.14"/>
    <s v="Returning"/>
    <n v="0.11"/>
    <s v="Credit Card"/>
    <s v="Online"/>
    <x v="1"/>
    <n v="3857.56"/>
    <n v="-2020.19"/>
    <n v="-1.0995009170716841"/>
    <x v="9"/>
    <n v="2023"/>
  </r>
  <r>
    <n v="1056"/>
    <d v="2023-01-14T00:00:00"/>
    <s v="Charlie"/>
    <x v="1"/>
    <n v="5720.5"/>
    <n v="25"/>
    <x v="1"/>
    <n v="2361.7399999999998"/>
    <n v="2584.35"/>
    <s v="Returning"/>
    <n v="0.2"/>
    <s v="Cash"/>
    <s v="Online"/>
    <x v="5"/>
    <n v="59043.499999999993"/>
    <n v="-53322.999999999993"/>
    <n v="-9.3213879905602646"/>
    <x v="5"/>
    <n v="2023"/>
  </r>
  <r>
    <n v="1094"/>
    <d v="2023-01-12T00:00:00"/>
    <s v="Eve"/>
    <x v="1"/>
    <n v="5835.21"/>
    <n v="38"/>
    <x v="1"/>
    <n v="3443.98"/>
    <n v="3820.3"/>
    <s v="Returning"/>
    <n v="0.01"/>
    <s v="Credit Card"/>
    <s v="Retail"/>
    <x v="8"/>
    <n v="130871.24"/>
    <n v="-125036.03"/>
    <n v="-21.42785435314239"/>
    <x v="5"/>
    <n v="2023"/>
  </r>
  <r>
    <n v="1063"/>
    <d v="2023-03-28T00:00:00"/>
    <s v="Charlie"/>
    <x v="2"/>
    <n v="4947.28"/>
    <n v="42"/>
    <x v="1"/>
    <n v="1170.07"/>
    <n v="1669.94999999999"/>
    <s v="Returning"/>
    <n v="0.12"/>
    <s v="Bank Transfer"/>
    <s v="Retail"/>
    <x v="10"/>
    <n v="49142.939999999995"/>
    <n v="-44195.659999999996"/>
    <n v="-8.9333249785740847"/>
    <x v="4"/>
    <n v="2023"/>
  </r>
  <r>
    <n v="1048"/>
    <d v="2023-01-12T00:00:00"/>
    <s v="Charlie"/>
    <x v="3"/>
    <n v="6482.98"/>
    <n v="47"/>
    <x v="2"/>
    <n v="702.44"/>
    <n v="1067.6600000000001"/>
    <s v="New"/>
    <n v="0.24"/>
    <s v="Cash"/>
    <s v="Retail"/>
    <x v="4"/>
    <n v="33014.68"/>
    <n v="-26531.7"/>
    <n v="-4.0925160959928926"/>
    <x v="5"/>
    <n v="2023"/>
  </r>
  <r>
    <n v="1061"/>
    <d v="2023-01-25T00:00:00"/>
    <s v="Bob"/>
    <x v="3"/>
    <n v="2375.2800000000002"/>
    <n v="38"/>
    <x v="0"/>
    <n v="4440.8599999999997"/>
    <n v="4506.8099999999904"/>
    <s v="Returning"/>
    <n v="0.24"/>
    <s v="Bank Transfer"/>
    <s v="Online"/>
    <x v="12"/>
    <n v="168752.68"/>
    <n v="-166377.4"/>
    <n v="-70.045384123134951"/>
    <x v="5"/>
    <n v="2023"/>
  </r>
  <r>
    <n v="1081"/>
    <d v="2023-10-28T00:00:00"/>
    <s v="Charlie"/>
    <x v="0"/>
    <n v="5571.36"/>
    <n v="23"/>
    <x v="1"/>
    <n v="1411.37"/>
    <n v="1675.35"/>
    <s v="New"/>
    <n v="0.21"/>
    <s v="Cash"/>
    <s v="Retail"/>
    <x v="19"/>
    <n v="32461.51"/>
    <n v="-26890.149999999998"/>
    <n v="-4.8264965825220409"/>
    <x v="7"/>
    <n v="2023"/>
  </r>
  <r>
    <n v="1026"/>
    <d v="2023-08-31T00:00:00"/>
    <s v="Alice"/>
    <x v="3"/>
    <n v="3784.52"/>
    <n v="25"/>
    <x v="3"/>
    <n v="1156.8800000000001"/>
    <n v="1454.68"/>
    <s v="Returning"/>
    <n v="0.06"/>
    <s v="Credit Card"/>
    <s v="Online"/>
    <x v="18"/>
    <n v="28922.000000000004"/>
    <n v="-25137.480000000003"/>
    <n v="-6.642184477820174"/>
    <x v="3"/>
    <n v="2023"/>
  </r>
  <r>
    <n v="1036"/>
    <d v="2023-05-02T00:00:00"/>
    <s v="David"/>
    <x v="0"/>
    <n v="6650.51"/>
    <n v="42"/>
    <x v="0"/>
    <n v="4292.63"/>
    <n v="4387.99"/>
    <s v="New"/>
    <n v="7.0000000000000007E-2"/>
    <s v="Credit Card"/>
    <s v="Retail"/>
    <x v="11"/>
    <n v="180290.46"/>
    <n v="-173639.94999999998"/>
    <n v="-26.109268311753532"/>
    <x v="10"/>
    <n v="2023"/>
  </r>
  <r>
    <n v="1001"/>
    <d v="2023-05-27T00:00:00"/>
    <s v="Alice"/>
    <x v="2"/>
    <n v="1498.11"/>
    <n v="7"/>
    <x v="3"/>
    <n v="4094.68"/>
    <n v="4576.5"/>
    <s v="New"/>
    <n v="0.3"/>
    <s v="Cash"/>
    <s v="Retail"/>
    <x v="9"/>
    <n v="28662.76"/>
    <n v="-27164.649999999998"/>
    <n v="-18.132613760004272"/>
    <x v="10"/>
    <n v="2023"/>
  </r>
  <r>
    <n v="1008"/>
    <d v="2023-02-24T00:00:00"/>
    <s v="Eve"/>
    <x v="1"/>
    <n v="5751.69"/>
    <n v="22"/>
    <x v="3"/>
    <n v="2269.3200000000002"/>
    <n v="2365.35"/>
    <s v="New"/>
    <n v="0.03"/>
    <s v="Cash"/>
    <s v="Retail"/>
    <x v="8"/>
    <n v="49925.04"/>
    <n v="-44173.35"/>
    <n v="-7.680064468008533"/>
    <x v="0"/>
    <n v="2023"/>
  </r>
  <r>
    <n v="1099"/>
    <d v="2023-08-26T00:00:00"/>
    <s v="David"/>
    <x v="1"/>
    <n v="1934.18"/>
    <n v="17"/>
    <x v="1"/>
    <n v="2471.73"/>
    <n v="2568.73"/>
    <s v="New"/>
    <n v="0.05"/>
    <s v="Cash"/>
    <s v="Retail"/>
    <x v="13"/>
    <n v="42019.41"/>
    <n v="-40085.230000000003"/>
    <n v="-20.724663681766952"/>
    <x v="3"/>
    <n v="2023"/>
  </r>
  <r>
    <n v="1052"/>
    <d v="2023-12-22T00:00:00"/>
    <s v="Charlie"/>
    <x v="1"/>
    <n v="2858.57"/>
    <n v="18"/>
    <x v="1"/>
    <n v="1127.8599999999999"/>
    <n v="1586.29"/>
    <s v="New"/>
    <n v="0.04"/>
    <s v="Credit Card"/>
    <s v="Online"/>
    <x v="5"/>
    <n v="20301.48"/>
    <n v="-17442.91"/>
    <n v="-6.1019705657024312"/>
    <x v="9"/>
    <n v="2023"/>
  </r>
  <r>
    <n v="1079"/>
    <d v="2023-06-22T00:00:00"/>
    <s v="Eve"/>
    <x v="3"/>
    <n v="2265.23"/>
    <n v="49"/>
    <x v="2"/>
    <n v="437.59"/>
    <n v="675.54"/>
    <s v="Returning"/>
    <n v="0.1"/>
    <s v="Cash"/>
    <s v="Online"/>
    <x v="14"/>
    <n v="21441.91"/>
    <n v="-19176.68"/>
    <n v="-8.4656657381369662"/>
    <x v="6"/>
    <n v="2023"/>
  </r>
  <r>
    <n v="1047"/>
    <d v="2023-08-09T00:00:00"/>
    <s v="David"/>
    <x v="0"/>
    <n v="1910.09"/>
    <n v="41"/>
    <x v="2"/>
    <n v="2888.49"/>
    <n v="2929.45"/>
    <s v="New"/>
    <n v="0.06"/>
    <s v="Cash"/>
    <s v="Retail"/>
    <x v="11"/>
    <n v="118428.09"/>
    <n v="-116518"/>
    <n v="-61.001314074205929"/>
    <x v="3"/>
    <n v="2023"/>
  </r>
  <r>
    <n v="1056"/>
    <d v="2023-04-29T00:00:00"/>
    <s v="Charlie"/>
    <x v="0"/>
    <n v="8274.5400000000009"/>
    <n v="10"/>
    <x v="2"/>
    <n v="536.80999999999995"/>
    <n v="839.92"/>
    <s v="Returning"/>
    <n v="0.15"/>
    <s v="Bank Transfer"/>
    <s v="Online"/>
    <x v="19"/>
    <n v="5368.0999999999995"/>
    <n v="2906.4400000000014"/>
    <n v="0.35125094567190457"/>
    <x v="1"/>
    <n v="2023"/>
  </r>
  <r>
    <n v="1086"/>
    <d v="2023-11-05T00:00:00"/>
    <s v="Alice"/>
    <x v="2"/>
    <n v="2928.5"/>
    <n v="10"/>
    <x v="0"/>
    <n v="2273.91"/>
    <n v="2578.7999999999902"/>
    <s v="New"/>
    <n v="0.14000000000000001"/>
    <s v="Cash"/>
    <s v="Online"/>
    <x v="9"/>
    <n v="22739.1"/>
    <n v="-19810.599999999999"/>
    <n v="-6.7647601161003923"/>
    <x v="8"/>
    <n v="2023"/>
  </r>
  <r>
    <n v="1014"/>
    <d v="2023-07-02T00:00:00"/>
    <s v="David"/>
    <x v="3"/>
    <n v="9278.5300000000007"/>
    <n v="7"/>
    <x v="2"/>
    <n v="4705.46"/>
    <n v="4747.07"/>
    <s v="New"/>
    <n v="0.27"/>
    <s v="Bank Transfer"/>
    <s v="Retail"/>
    <x v="16"/>
    <n v="32938.22"/>
    <n v="-23659.690000000002"/>
    <n v="-2.5499394839484273"/>
    <x v="11"/>
    <n v="2023"/>
  </r>
  <r>
    <n v="1090"/>
    <d v="2023-10-15T00:00:00"/>
    <s v="Charlie"/>
    <x v="2"/>
    <n v="9702.27"/>
    <n v="48"/>
    <x v="3"/>
    <n v="4766.53"/>
    <n v="5253.07"/>
    <s v="Returning"/>
    <n v="0.01"/>
    <s v="Bank Transfer"/>
    <s v="Online"/>
    <x v="10"/>
    <n v="228793.44"/>
    <n v="-219091.17"/>
    <n v="-22.581434035540138"/>
    <x v="7"/>
    <n v="2023"/>
  </r>
  <r>
    <n v="1028"/>
    <d v="2023-11-03T00:00:00"/>
    <s v="Alice"/>
    <x v="0"/>
    <n v="5755.48"/>
    <n v="38"/>
    <x v="2"/>
    <n v="1234.69"/>
    <n v="1511.26"/>
    <s v="New"/>
    <n v="0.1"/>
    <s v="Bank Transfer"/>
    <s v="Online"/>
    <x v="15"/>
    <n v="46918.22"/>
    <n v="-41162.740000000005"/>
    <n v="-7.1519212993529662"/>
    <x v="8"/>
    <n v="2023"/>
  </r>
  <r>
    <n v="1087"/>
    <d v="2023-10-27T00:00:00"/>
    <s v="Eve"/>
    <x v="0"/>
    <n v="1515.71"/>
    <n v="27"/>
    <x v="1"/>
    <n v="3139.36"/>
    <n v="3423.66"/>
    <s v="New"/>
    <n v="0.18"/>
    <s v="Credit Card"/>
    <s v="Online"/>
    <x v="7"/>
    <n v="84762.72"/>
    <n v="-83247.009999999995"/>
    <n v="-54.922782062531745"/>
    <x v="7"/>
    <n v="2023"/>
  </r>
  <r>
    <n v="1078"/>
    <d v="2023-03-23T00:00:00"/>
    <s v="Eve"/>
    <x v="1"/>
    <n v="3808.03"/>
    <n v="33"/>
    <x v="2"/>
    <n v="2396.6799999999998"/>
    <n v="2661.54"/>
    <s v="New"/>
    <n v="0.18"/>
    <s v="Bank Transfer"/>
    <s v="Online"/>
    <x v="8"/>
    <n v="79090.439999999988"/>
    <n v="-75282.409999999989"/>
    <n v="-19.769384694973514"/>
    <x v="4"/>
    <n v="2023"/>
  </r>
  <r>
    <n v="1088"/>
    <d v="2023-07-30T00:00:00"/>
    <s v="Eve"/>
    <x v="3"/>
    <n v="7997.55"/>
    <n v="1"/>
    <x v="0"/>
    <n v="4384.6400000000003"/>
    <n v="4693.8999999999996"/>
    <s v="New"/>
    <n v="0.14000000000000001"/>
    <s v="Cash"/>
    <s v="Retail"/>
    <x v="14"/>
    <n v="4384.6400000000003"/>
    <n v="3612.91"/>
    <n v="0.45175209908034331"/>
    <x v="11"/>
    <n v="2023"/>
  </r>
  <r>
    <n v="1002"/>
    <d v="2023-05-30T00:00:00"/>
    <s v="Eve"/>
    <x v="0"/>
    <n v="3737.17"/>
    <n v="44"/>
    <x v="0"/>
    <n v="1393.58"/>
    <n v="1533.09"/>
    <s v="Returning"/>
    <n v="0.24"/>
    <s v="Credit Card"/>
    <s v="Retail"/>
    <x v="7"/>
    <n v="61317.52"/>
    <n v="-57580.35"/>
    <n v="-15.407474104737005"/>
    <x v="10"/>
    <n v="2023"/>
  </r>
  <r>
    <n v="1026"/>
    <d v="2023-02-06T00:00:00"/>
    <s v="Bob"/>
    <x v="1"/>
    <n v="961.47"/>
    <n v="34"/>
    <x v="3"/>
    <n v="68.33"/>
    <n v="219.07999999999899"/>
    <s v="New"/>
    <n v="0.02"/>
    <s v="Credit Card"/>
    <s v="Online"/>
    <x v="1"/>
    <n v="2323.2199999999998"/>
    <n v="-1361.7499999999998"/>
    <n v="-1.4163208420439533"/>
    <x v="0"/>
    <n v="2023"/>
  </r>
  <r>
    <n v="1014"/>
    <d v="2023-12-18T00:00:00"/>
    <s v="David"/>
    <x v="3"/>
    <n v="5612.17"/>
    <n v="4"/>
    <x v="0"/>
    <n v="854.68"/>
    <n v="1115.24"/>
    <s v="New"/>
    <n v="0.24"/>
    <s v="Credit Card"/>
    <s v="Retail"/>
    <x v="16"/>
    <n v="3418.72"/>
    <n v="2193.4500000000003"/>
    <n v="0.39083812500334097"/>
    <x v="9"/>
    <n v="2023"/>
  </r>
  <r>
    <n v="1059"/>
    <d v="2023-11-08T00:00:00"/>
    <s v="David"/>
    <x v="2"/>
    <n v="8466.7000000000007"/>
    <n v="17"/>
    <x v="2"/>
    <n v="1780.14"/>
    <n v="2185.42"/>
    <s v="Returning"/>
    <n v="0.15"/>
    <s v="Credit Card"/>
    <s v="Retail"/>
    <x v="2"/>
    <n v="30262.38"/>
    <n v="-21795.68"/>
    <n v="-2.5742827784142581"/>
    <x v="8"/>
    <n v="2023"/>
  </r>
  <r>
    <n v="1056"/>
    <d v="2023-12-27T00:00:00"/>
    <s v="Bob"/>
    <x v="3"/>
    <n v="7979.67"/>
    <n v="4"/>
    <x v="1"/>
    <n v="1612.82"/>
    <n v="1647.25"/>
    <s v="Returning"/>
    <n v="0.04"/>
    <s v="Credit Card"/>
    <s v="Retail"/>
    <x v="12"/>
    <n v="6451.28"/>
    <n v="1528.3900000000003"/>
    <n v="0.19153548956285163"/>
    <x v="9"/>
    <n v="2023"/>
  </r>
  <r>
    <n v="1007"/>
    <d v="2023-02-28T00:00:00"/>
    <s v="Charlie"/>
    <x v="3"/>
    <n v="1833.72"/>
    <n v="43"/>
    <x v="0"/>
    <n v="3967.25"/>
    <n v="4272.92"/>
    <s v="New"/>
    <n v="0.27"/>
    <s v="Credit Card"/>
    <s v="Online"/>
    <x v="4"/>
    <n v="170591.75"/>
    <n v="-168758.03"/>
    <n v="-92.030424492288901"/>
    <x v="0"/>
    <n v="2023"/>
  </r>
  <r>
    <n v="1003"/>
    <d v="2023-05-11T00:00:00"/>
    <s v="Charlie"/>
    <x v="0"/>
    <n v="6760.37"/>
    <n v="26"/>
    <x v="3"/>
    <n v="3418.78"/>
    <n v="3824.1"/>
    <s v="New"/>
    <n v="0.19"/>
    <s v="Credit Card"/>
    <s v="Online"/>
    <x v="19"/>
    <n v="88888.28"/>
    <n v="-82127.91"/>
    <n v="-12.14843418333612"/>
    <x v="10"/>
    <n v="2023"/>
  </r>
  <r>
    <n v="1023"/>
    <d v="2023-07-21T00:00:00"/>
    <s v="Eve"/>
    <x v="0"/>
    <n v="2282.9899999999998"/>
    <n v="4"/>
    <x v="2"/>
    <n v="1532.8"/>
    <n v="1619.69"/>
    <s v="Returning"/>
    <n v="0.05"/>
    <s v="Bank Transfer"/>
    <s v="Retail"/>
    <x v="7"/>
    <n v="6131.2"/>
    <n v="-3848.21"/>
    <n v="-1.685600900573371"/>
    <x v="11"/>
    <n v="2023"/>
  </r>
  <r>
    <n v="1018"/>
    <d v="2023-08-31T00:00:00"/>
    <s v="Alice"/>
    <x v="3"/>
    <n v="2260.25"/>
    <n v="1"/>
    <x v="3"/>
    <n v="2315.83"/>
    <n v="2333.19"/>
    <s v="New"/>
    <n v="0.01"/>
    <s v="Cash"/>
    <s v="Retail"/>
    <x v="18"/>
    <n v="2315.83"/>
    <n v="-55.579999999999927"/>
    <n v="-2.4590200199092988E-2"/>
    <x v="3"/>
    <n v="2023"/>
  </r>
  <r>
    <n v="1038"/>
    <d v="2023-02-04T00:00:00"/>
    <s v="Charlie"/>
    <x v="0"/>
    <n v="8753.31"/>
    <n v="7"/>
    <x v="0"/>
    <n v="523.02"/>
    <n v="686.25"/>
    <s v="Returning"/>
    <n v="0.04"/>
    <s v="Cash"/>
    <s v="Online"/>
    <x v="19"/>
    <n v="3661.14"/>
    <n v="5092.17"/>
    <n v="0.58174222094270633"/>
    <x v="0"/>
    <n v="2023"/>
  </r>
  <r>
    <n v="1099"/>
    <d v="2023-04-03T00:00:00"/>
    <s v="Alice"/>
    <x v="0"/>
    <n v="2571.7199999999998"/>
    <n v="30"/>
    <x v="0"/>
    <n v="4495.82"/>
    <n v="4794.0099999999902"/>
    <s v="New"/>
    <n v="0.18"/>
    <s v="Bank Transfer"/>
    <s v="Retail"/>
    <x v="15"/>
    <n v="134874.59999999998"/>
    <n v="-132302.87999999998"/>
    <n v="-51.445289533852822"/>
    <x v="1"/>
    <n v="2023"/>
  </r>
  <r>
    <n v="1015"/>
    <d v="2023-07-26T00:00:00"/>
    <s v="David"/>
    <x v="0"/>
    <n v="2706.15"/>
    <n v="9"/>
    <x v="3"/>
    <n v="4680.3500000000004"/>
    <n v="4758.1099999999997"/>
    <s v="Returning"/>
    <n v="0.05"/>
    <s v="Bank Transfer"/>
    <s v="Online"/>
    <x v="11"/>
    <n v="42123.15"/>
    <n v="-39417"/>
    <n v="-14.565711435064575"/>
    <x v="11"/>
    <n v="2023"/>
  </r>
  <r>
    <n v="1064"/>
    <d v="2023-12-19T00:00:00"/>
    <s v="Alice"/>
    <x v="1"/>
    <n v="106.47"/>
    <n v="35"/>
    <x v="2"/>
    <n v="4900.03"/>
    <n v="5118.83"/>
    <s v="Returning"/>
    <n v="7.0000000000000007E-2"/>
    <s v="Credit Card"/>
    <s v="Retail"/>
    <x v="17"/>
    <n v="171501.05"/>
    <n v="-171394.58"/>
    <n v="-1609.7922419460881"/>
    <x v="9"/>
    <n v="2023"/>
  </r>
  <r>
    <n v="1089"/>
    <d v="2023-11-28T00:00:00"/>
    <s v="David"/>
    <x v="1"/>
    <n v="8719.6200000000008"/>
    <n v="8"/>
    <x v="0"/>
    <n v="4349.34"/>
    <n v="4629.9799999999996"/>
    <s v="Returning"/>
    <n v="0.01"/>
    <s v="Credit Card"/>
    <s v="Online"/>
    <x v="13"/>
    <n v="34794.720000000001"/>
    <n v="-26075.1"/>
    <n v="-2.990394076806099"/>
    <x v="8"/>
    <n v="2023"/>
  </r>
  <r>
    <n v="1028"/>
    <d v="2023-11-01T00:00:00"/>
    <s v="Bob"/>
    <x v="3"/>
    <n v="7946.69"/>
    <n v="24"/>
    <x v="1"/>
    <n v="911.11"/>
    <n v="1214.56"/>
    <s v="New"/>
    <n v="0.22"/>
    <s v="Bank Transfer"/>
    <s v="Online"/>
    <x v="12"/>
    <n v="21866.639999999999"/>
    <n v="-13919.95"/>
    <n v="-1.7516664170868628"/>
    <x v="8"/>
    <n v="2023"/>
  </r>
  <r>
    <n v="1074"/>
    <d v="2023-12-16T00:00:00"/>
    <s v="Bob"/>
    <x v="0"/>
    <n v="6310.56"/>
    <n v="19"/>
    <x v="0"/>
    <n v="278.67"/>
    <n v="423.13"/>
    <s v="New"/>
    <n v="0.24"/>
    <s v="Credit Card"/>
    <s v="Online"/>
    <x v="0"/>
    <n v="5294.7300000000005"/>
    <n v="1015.8299999999999"/>
    <n v="0.16097303567353766"/>
    <x v="9"/>
    <n v="2023"/>
  </r>
  <r>
    <n v="1039"/>
    <d v="2023-08-01T00:00:00"/>
    <s v="Eve"/>
    <x v="1"/>
    <n v="7527.63"/>
    <n v="36"/>
    <x v="2"/>
    <n v="2919"/>
    <n v="3125.01"/>
    <s v="New"/>
    <n v="0.24"/>
    <s v="Cash"/>
    <s v="Online"/>
    <x v="8"/>
    <n v="105084"/>
    <n v="-97556.37"/>
    <n v="-12.959772199218079"/>
    <x v="3"/>
    <n v="2023"/>
  </r>
  <r>
    <n v="1057"/>
    <d v="2023-06-08T00:00:00"/>
    <s v="Charlie"/>
    <x v="3"/>
    <n v="1605.28"/>
    <n v="43"/>
    <x v="0"/>
    <n v="4567.3900000000003"/>
    <n v="4958.78"/>
    <s v="New"/>
    <n v="0.04"/>
    <s v="Cash"/>
    <s v="Retail"/>
    <x v="4"/>
    <n v="196397.77000000002"/>
    <n v="-194792.49000000002"/>
    <n v="-121.34486818498955"/>
    <x v="6"/>
    <n v="2023"/>
  </r>
  <r>
    <n v="1017"/>
    <d v="2023-01-24T00:00:00"/>
    <s v="Eve"/>
    <x v="0"/>
    <n v="4637.3999999999996"/>
    <n v="27"/>
    <x v="3"/>
    <n v="927.89"/>
    <n v="1399.09"/>
    <s v="Returning"/>
    <n v="0.27"/>
    <s v="Credit Card"/>
    <s v="Online"/>
    <x v="7"/>
    <n v="25053.03"/>
    <n v="-20415.629999999997"/>
    <n v="-4.4023871134687536"/>
    <x v="5"/>
    <n v="2023"/>
  </r>
  <r>
    <n v="1086"/>
    <d v="2023-10-20T00:00:00"/>
    <s v="David"/>
    <x v="2"/>
    <n v="3577.07"/>
    <n v="32"/>
    <x v="0"/>
    <n v="84.86"/>
    <n v="517.17999999999995"/>
    <s v="Returning"/>
    <n v="0.2"/>
    <s v="Credit Card"/>
    <s v="Retail"/>
    <x v="2"/>
    <n v="2715.52"/>
    <n v="861.55000000000018"/>
    <n v="0.24085354773599627"/>
    <x v="7"/>
    <n v="2023"/>
  </r>
  <r>
    <n v="1090"/>
    <d v="2023-01-04T00:00:00"/>
    <s v="Eve"/>
    <x v="0"/>
    <n v="1028.3900000000001"/>
    <n v="14"/>
    <x v="0"/>
    <n v="4037.21"/>
    <n v="4323.71"/>
    <s v="Returning"/>
    <n v="0.27"/>
    <s v="Credit Card"/>
    <s v="Online"/>
    <x v="7"/>
    <n v="56520.94"/>
    <n v="-55492.55"/>
    <n v="-53.960608329524788"/>
    <x v="5"/>
    <n v="2023"/>
  </r>
  <r>
    <n v="1044"/>
    <d v="2023-08-08T00:00:00"/>
    <s v="Alice"/>
    <x v="0"/>
    <n v="4912.6899999999996"/>
    <n v="18"/>
    <x v="2"/>
    <n v="430.14"/>
    <n v="641.17999999999995"/>
    <s v="New"/>
    <n v="0.13"/>
    <s v="Cash"/>
    <s v="Online"/>
    <x v="15"/>
    <n v="7742.5199999999995"/>
    <n v="-2829.83"/>
    <n v="-0.57602454052667684"/>
    <x v="3"/>
    <n v="2023"/>
  </r>
  <r>
    <n v="1025"/>
    <d v="2023-12-30T00:00:00"/>
    <s v="David"/>
    <x v="1"/>
    <n v="9215.32"/>
    <n v="28"/>
    <x v="3"/>
    <n v="2097.84"/>
    <n v="2270.9899999999998"/>
    <s v="New"/>
    <n v="0.13"/>
    <s v="Credit Card"/>
    <s v="Retail"/>
    <x v="13"/>
    <n v="58739.520000000004"/>
    <n v="-49524.200000000004"/>
    <n v="-5.3741161457225584"/>
    <x v="9"/>
    <n v="2023"/>
  </r>
  <r>
    <n v="1017"/>
    <d v="2023-01-20T00:00:00"/>
    <s v="Bob"/>
    <x v="3"/>
    <n v="496.59"/>
    <n v="29"/>
    <x v="2"/>
    <n v="3410.49"/>
    <n v="3481.72"/>
    <s v="New"/>
    <n v="0.24"/>
    <s v="Bank Transfer"/>
    <s v="Retail"/>
    <x v="12"/>
    <n v="98904.209999999992"/>
    <n v="-98407.62"/>
    <n v="-198.16673714734489"/>
    <x v="5"/>
    <n v="2023"/>
  </r>
  <r>
    <n v="1013"/>
    <d v="2023-06-01T00:00:00"/>
    <s v="Charlie"/>
    <x v="3"/>
    <n v="2985.46"/>
    <n v="16"/>
    <x v="0"/>
    <n v="1222.1500000000001"/>
    <n v="1284.3599999999999"/>
    <s v="Returning"/>
    <n v="0.03"/>
    <s v="Credit Card"/>
    <s v="Retail"/>
    <x v="4"/>
    <n v="19554.400000000001"/>
    <n v="-16568.940000000002"/>
    <n v="-5.5498784106971799"/>
    <x v="6"/>
    <n v="2023"/>
  </r>
  <r>
    <n v="1084"/>
    <d v="2023-02-19T00:00:00"/>
    <s v="David"/>
    <x v="1"/>
    <n v="2154.66"/>
    <n v="35"/>
    <x v="1"/>
    <n v="465.61"/>
    <n v="812.91"/>
    <s v="New"/>
    <n v="0.16"/>
    <s v="Bank Transfer"/>
    <s v="Online"/>
    <x v="13"/>
    <n v="16296.35"/>
    <n v="-14141.69"/>
    <n v="-6.5633046513138975"/>
    <x v="0"/>
    <n v="2023"/>
  </r>
  <r>
    <n v="1025"/>
    <d v="2023-06-26T00:00:00"/>
    <s v="David"/>
    <x v="0"/>
    <n v="2457.65"/>
    <n v="47"/>
    <x v="0"/>
    <n v="3861.61"/>
    <n v="3998.91"/>
    <s v="New"/>
    <n v="0.25"/>
    <s v="Credit Card"/>
    <s v="Online"/>
    <x v="11"/>
    <n v="181495.67"/>
    <n v="-179038.02000000002"/>
    <n v="-72.849274713649223"/>
    <x v="6"/>
    <n v="2023"/>
  </r>
  <r>
    <n v="1068"/>
    <d v="2023-04-06T00:00:00"/>
    <s v="Alice"/>
    <x v="2"/>
    <n v="9093.5"/>
    <n v="31"/>
    <x v="2"/>
    <n v="3169.37"/>
    <n v="3304.15"/>
    <s v="Returning"/>
    <n v="0.25"/>
    <s v="Credit Card"/>
    <s v="Retail"/>
    <x v="9"/>
    <n v="98250.47"/>
    <n v="-89156.97"/>
    <n v="-9.8044724253587727"/>
    <x v="1"/>
    <n v="2023"/>
  </r>
  <r>
    <n v="1010"/>
    <d v="2023-04-15T00:00:00"/>
    <s v="Charlie"/>
    <x v="0"/>
    <n v="4733.88"/>
    <n v="4"/>
    <x v="1"/>
    <n v="4943.03"/>
    <n v="5442.15"/>
    <s v="Returning"/>
    <n v="0.28999999999999998"/>
    <s v="Cash"/>
    <s v="Online"/>
    <x v="19"/>
    <n v="19772.12"/>
    <n v="-15038.239999999998"/>
    <n v="-3.176726068256905"/>
    <x v="1"/>
    <n v="2023"/>
  </r>
  <r>
    <n v="1067"/>
    <d v="2023-09-07T00:00:00"/>
    <s v="Bob"/>
    <x v="0"/>
    <n v="4716.3599999999997"/>
    <n v="37"/>
    <x v="2"/>
    <n v="1754.32"/>
    <n v="1856.3999999999901"/>
    <s v="New"/>
    <n v="0.21"/>
    <s v="Bank Transfer"/>
    <s v="Retail"/>
    <x v="0"/>
    <n v="64909.84"/>
    <n v="-60193.479999999996"/>
    <n v="-12.762698352119006"/>
    <x v="2"/>
    <n v="2023"/>
  </r>
  <r>
    <n v="1018"/>
    <d v="2023-04-27T00:00:00"/>
    <s v="David"/>
    <x v="2"/>
    <n v="7629.7"/>
    <n v="17"/>
    <x v="2"/>
    <n v="355.72"/>
    <n v="438.27"/>
    <s v="Returning"/>
    <n v="0.06"/>
    <s v="Bank Transfer"/>
    <s v="Online"/>
    <x v="2"/>
    <n v="6047.2400000000007"/>
    <n v="1582.4599999999991"/>
    <n v="0.20740789283982322"/>
    <x v="1"/>
    <n v="2023"/>
  </r>
  <r>
    <n v="1100"/>
    <d v="2023-12-20T00:00:00"/>
    <s v="David"/>
    <x v="1"/>
    <n v="1629.47"/>
    <n v="39"/>
    <x v="3"/>
    <n v="3685.03"/>
    <n v="3743.39"/>
    <s v="New"/>
    <n v="0.01"/>
    <s v="Bank Transfer"/>
    <s v="Online"/>
    <x v="13"/>
    <n v="143716.17000000001"/>
    <n v="-142086.70000000001"/>
    <n v="-87.198107360061869"/>
    <x v="9"/>
    <n v="2023"/>
  </r>
  <r>
    <n v="1086"/>
    <d v="2023-08-16T00:00:00"/>
    <s v="Alice"/>
    <x v="3"/>
    <n v="4923.93"/>
    <n v="48"/>
    <x v="1"/>
    <n v="2632.58"/>
    <n v="2926.68"/>
    <s v="Returning"/>
    <n v="0.14000000000000001"/>
    <s v="Cash"/>
    <s v="Online"/>
    <x v="18"/>
    <n v="126363.84"/>
    <n v="-121439.91"/>
    <n v="-24.663208047230565"/>
    <x v="3"/>
    <n v="20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9">
    <pivotField showAll="0"/>
    <pivotField numFmtId="14" showAll="0"/>
    <pivotField showAll="0"/>
    <pivotField showAll="0"/>
    <pivotField dataField="1"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numFmtId="9" showAll="0"/>
    <pivotField showAll="0"/>
    <pivotField showAll="0"/>
  </pivotFields>
  <rowFields count="1">
    <field x="6"/>
  </rowFields>
  <rowItems count="5">
    <i>
      <x/>
    </i>
    <i>
      <x v="1"/>
    </i>
    <i>
      <x v="2"/>
    </i>
    <i>
      <x v="3"/>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9">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items count="21">
        <item x="18"/>
        <item h="1" x="12"/>
        <item h="1" x="4"/>
        <item h="1" x="16"/>
        <item h="1" x="14"/>
        <item h="1" x="15"/>
        <item h="1" x="0"/>
        <item h="1" x="19"/>
        <item h="1" x="11"/>
        <item h="1" x="7"/>
        <item h="1" x="9"/>
        <item h="1" x="3"/>
        <item h="1" x="10"/>
        <item h="1" x="2"/>
        <item h="1" x="6"/>
        <item h="1" x="17"/>
        <item h="1" x="1"/>
        <item h="1" x="5"/>
        <item h="1" x="13"/>
        <item h="1" x="8"/>
        <item t="default"/>
      </items>
    </pivotField>
    <pivotField showAll="0"/>
    <pivotField showAll="0"/>
    <pivotField numFmtId="9" showAll="0"/>
    <pivotField axis="axisRow" showAll="0">
      <items count="13">
        <item x="5"/>
        <item x="0"/>
        <item x="4"/>
        <item x="1"/>
        <item x="10"/>
        <item x="6"/>
        <item x="11"/>
        <item x="3"/>
        <item x="2"/>
        <item x="7"/>
        <item x="8"/>
        <item x="9"/>
        <item t="default"/>
      </items>
    </pivotField>
    <pivotField showAll="0"/>
  </pivotFields>
  <rowFields count="1">
    <field x="17"/>
  </rowFields>
  <rowItems count="13">
    <i>
      <x/>
    </i>
    <i>
      <x v="1"/>
    </i>
    <i>
      <x v="2"/>
    </i>
    <i>
      <x v="3"/>
    </i>
    <i>
      <x v="4"/>
    </i>
    <i>
      <x v="5"/>
    </i>
    <i>
      <x v="6"/>
    </i>
    <i>
      <x v="7"/>
    </i>
    <i>
      <x v="8"/>
    </i>
    <i>
      <x v="9"/>
    </i>
    <i>
      <x v="10"/>
    </i>
    <i>
      <x v="11"/>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19">
    <pivotField showAll="0"/>
    <pivotField numFmtId="14"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pivotField showAll="0"/>
  </pivotFields>
  <rowFields count="1">
    <field x="3"/>
  </rowFields>
  <rowItems count="5">
    <i>
      <x/>
    </i>
    <i>
      <x v="1"/>
    </i>
    <i>
      <x v="2"/>
    </i>
    <i>
      <x v="3"/>
    </i>
    <i t="grand">
      <x/>
    </i>
  </rowItems>
  <colItems count="1">
    <i/>
  </colItems>
  <dataFields count="1">
    <dataField name="Sum of Gross_Profit" fld="15"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and_Sales_Rep" xr10:uid="{00000000-0013-0000-FFFF-FFFF01000000}" sourceName="Region_and_Sales_Rep">
  <pivotTables>
    <pivotTable tabId="3" name="PivotTable2"/>
  </pivotTables>
  <data>
    <tabular pivotCacheId="47495808">
      <items count="20">
        <i x="18" s="1"/>
        <i x="12"/>
        <i x="4"/>
        <i x="16"/>
        <i x="14"/>
        <i x="15"/>
        <i x="0"/>
        <i x="19"/>
        <i x="11"/>
        <i x="7"/>
        <i x="9"/>
        <i x="3"/>
        <i x="10"/>
        <i x="2"/>
        <i x="6"/>
        <i x="17"/>
        <i x="1"/>
        <i x="5"/>
        <i x="13"/>
        <i x="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and_Sales_Rep" xr10:uid="{00000000-0014-0000-FFFF-FFFF01000000}" cache="Slicer_Region_and_Sales_Rep" caption="Region_and_Sales_Re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S1001" totalsRowShown="0" headerRowDxfId="5">
  <autoFilter ref="A1:S1001" xr:uid="{00000000-0009-0000-0100-000002000000}"/>
  <tableColumns count="19">
    <tableColumn id="1" xr3:uid="{00000000-0010-0000-0000-000001000000}" name="Product_ID"/>
    <tableColumn id="2" xr3:uid="{00000000-0010-0000-0000-000002000000}" name="Sale_Date" dataDxfId="4"/>
    <tableColumn id="3" xr3:uid="{00000000-0010-0000-0000-000003000000}" name="Sales_Rep"/>
    <tableColumn id="4" xr3:uid="{00000000-0010-0000-0000-000004000000}" name="Region"/>
    <tableColumn id="5" xr3:uid="{00000000-0010-0000-0000-000005000000}" name="Sales_Amount"/>
    <tableColumn id="6" xr3:uid="{00000000-0010-0000-0000-000006000000}" name="Quantity_Sold"/>
    <tableColumn id="7" xr3:uid="{00000000-0010-0000-0000-000007000000}" name="Product_Category"/>
    <tableColumn id="8" xr3:uid="{00000000-0010-0000-0000-000008000000}" name="Unit_Cost"/>
    <tableColumn id="9" xr3:uid="{00000000-0010-0000-0000-000009000000}" name="Unit_Price"/>
    <tableColumn id="10" xr3:uid="{00000000-0010-0000-0000-00000A000000}" name="Customer_Type"/>
    <tableColumn id="11" xr3:uid="{00000000-0010-0000-0000-00000B000000}" name="Discount"/>
    <tableColumn id="12" xr3:uid="{00000000-0010-0000-0000-00000C000000}" name="Payment_Method"/>
    <tableColumn id="13" xr3:uid="{00000000-0010-0000-0000-00000D000000}" name="Sales_Channel"/>
    <tableColumn id="14" xr3:uid="{00000000-0010-0000-0000-00000E000000}" name="Region_and_Sales_Rep"/>
    <tableColumn id="15" xr3:uid="{00000000-0010-0000-0000-00000F000000}" name="Total_Cost" dataDxfId="3">
      <calculatedColumnFormula>Table2[[#This Row],[Unit_Cost]]*Table2[[#This Row],[Quantity_Sold]]</calculatedColumnFormula>
    </tableColumn>
    <tableColumn id="16" xr3:uid="{00000000-0010-0000-0000-000010000000}" name="Gross_Profit" dataDxfId="2">
      <calculatedColumnFormula>E2-O2</calculatedColumnFormula>
    </tableColumn>
    <tableColumn id="17" xr3:uid="{00000000-0010-0000-0000-000011000000}" name="Profit_Margin" dataCellStyle="Percent">
      <calculatedColumnFormula>Table2[[#This Row],[Gross_Profit]]/Table2[[#This Row],[Sales_Amount]]</calculatedColumnFormula>
    </tableColumn>
    <tableColumn id="18" xr3:uid="{00000000-0010-0000-0000-000012000000}" name="Month_Name" dataDxfId="1">
      <calculatedColumnFormula>TEXT(Table2[[#This Row],[Sale_Date]],"mmmm")</calculatedColumnFormula>
    </tableColumn>
    <tableColumn id="19" xr3:uid="{00000000-0010-0000-0000-000013000000}" name="Year" dataDxfId="0">
      <calculatedColumnFormula>YEAR(Table2[[#This Row],[Sale_Date]])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G11"/>
  <sheetViews>
    <sheetView showGridLines="0" workbookViewId="0">
      <selection activeCell="F10" sqref="F10"/>
    </sheetView>
  </sheetViews>
  <sheetFormatPr defaultRowHeight="14.5" x14ac:dyDescent="0.35"/>
  <cols>
    <col min="2" max="2" width="20.08984375" customWidth="1"/>
    <col min="3" max="3" width="13" customWidth="1"/>
    <col min="4" max="4" width="9.54296875" bestFit="1" customWidth="1"/>
  </cols>
  <sheetData>
    <row r="2" spans="1:7" x14ac:dyDescent="0.35">
      <c r="A2" s="8" t="s">
        <v>75</v>
      </c>
      <c r="B2" s="8"/>
      <c r="C2" s="8"/>
      <c r="D2" s="8"/>
      <c r="E2" s="8"/>
      <c r="F2" s="8"/>
      <c r="G2" s="8"/>
    </row>
    <row r="3" spans="1:7" x14ac:dyDescent="0.35">
      <c r="A3" s="8"/>
      <c r="B3" s="8"/>
      <c r="C3" s="8"/>
      <c r="D3" s="8"/>
      <c r="E3" s="8"/>
      <c r="F3" s="8"/>
      <c r="G3" s="8"/>
    </row>
    <row r="6" spans="1:7" x14ac:dyDescent="0.35">
      <c r="B6" s="2" t="s">
        <v>76</v>
      </c>
      <c r="C6" t="s">
        <v>79</v>
      </c>
    </row>
    <row r="7" spans="1:7" x14ac:dyDescent="0.35">
      <c r="B7" s="2" t="s">
        <v>77</v>
      </c>
      <c r="C7" s="1">
        <v>46034</v>
      </c>
    </row>
    <row r="8" spans="1:7" x14ac:dyDescent="0.35">
      <c r="B8" s="2" t="s">
        <v>78</v>
      </c>
      <c r="C8" s="7" t="s">
        <v>80</v>
      </c>
    </row>
    <row r="9" spans="1:7" x14ac:dyDescent="0.35">
      <c r="C9" s="7" t="s">
        <v>81</v>
      </c>
    </row>
    <row r="10" spans="1:7" x14ac:dyDescent="0.35">
      <c r="C10" s="7" t="s">
        <v>82</v>
      </c>
    </row>
    <row r="11" spans="1:7" x14ac:dyDescent="0.35">
      <c r="C11" s="7" t="s">
        <v>83</v>
      </c>
    </row>
  </sheetData>
  <mergeCells count="1">
    <mergeCell ref="A2:G3"/>
  </mergeCells>
  <hyperlinks>
    <hyperlink ref="C8" location="Cleaned_Data!A1" display="View Cleaned Data" xr:uid="{00000000-0004-0000-0000-000000000000}"/>
    <hyperlink ref="C9" location="Pivot_Category!A1" display="Sales Category Analysis" xr:uid="{00000000-0004-0000-0000-000001000000}"/>
    <hyperlink ref="C10" location="Pivot_Regionals!A1" display="Regional Profit Report" xr:uid="{00000000-0004-0000-0000-000002000000}"/>
    <hyperlink ref="C11" location="DASHBOARD!A1" display="GO TO DASHBOARD"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8"/>
  <sheetViews>
    <sheetView workbookViewId="0"/>
  </sheetViews>
  <sheetFormatPr defaultRowHeight="14.5" x14ac:dyDescent="0.35"/>
  <cols>
    <col min="1" max="1" width="12.54296875" bestFit="1" customWidth="1"/>
    <col min="2" max="2" width="19.81640625" bestFit="1" customWidth="1"/>
  </cols>
  <sheetData>
    <row r="3" spans="1:2" x14ac:dyDescent="0.35">
      <c r="A3" s="5" t="s">
        <v>59</v>
      </c>
      <c r="B3" t="s">
        <v>61</v>
      </c>
    </row>
    <row r="4" spans="1:2" x14ac:dyDescent="0.35">
      <c r="A4" s="6" t="s">
        <v>29</v>
      </c>
      <c r="B4" s="4">
        <v>1313474.3599999999</v>
      </c>
    </row>
    <row r="5" spans="1:2" x14ac:dyDescent="0.35">
      <c r="A5" s="6" t="s">
        <v>35</v>
      </c>
      <c r="B5" s="4">
        <v>1243499.6400000006</v>
      </c>
    </row>
    <row r="6" spans="1:2" x14ac:dyDescent="0.35">
      <c r="A6" s="6" t="s">
        <v>26</v>
      </c>
      <c r="B6" s="4">
        <v>1201773.5399999998</v>
      </c>
    </row>
    <row r="7" spans="1:2" x14ac:dyDescent="0.35">
      <c r="A7" s="6" t="s">
        <v>16</v>
      </c>
      <c r="B7" s="4">
        <v>1260517.6900000002</v>
      </c>
    </row>
    <row r="8" spans="1:2" x14ac:dyDescent="0.35">
      <c r="A8" s="6" t="s">
        <v>60</v>
      </c>
      <c r="B8" s="4">
        <v>5019265.2300000004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
  <sheetViews>
    <sheetView tabSelected="1" workbookViewId="0">
      <selection activeCell="A3" sqref="A3"/>
    </sheetView>
  </sheetViews>
  <sheetFormatPr defaultRowHeight="14.5" x14ac:dyDescent="0.35"/>
  <cols>
    <col min="1" max="1" width="12.54296875" bestFit="1" customWidth="1"/>
    <col min="2" max="2" width="19.81640625" bestFit="1" customWidth="1"/>
  </cols>
  <sheetData>
    <row r="3" spans="1:2" x14ac:dyDescent="0.35">
      <c r="A3" s="5" t="s">
        <v>59</v>
      </c>
      <c r="B3" t="s">
        <v>61</v>
      </c>
    </row>
    <row r="4" spans="1:2" x14ac:dyDescent="0.35">
      <c r="A4" s="6" t="s">
        <v>62</v>
      </c>
      <c r="B4" s="4">
        <v>23456.01</v>
      </c>
    </row>
    <row r="5" spans="1:2" x14ac:dyDescent="0.35">
      <c r="A5" s="6" t="s">
        <v>63</v>
      </c>
      <c r="B5" s="4">
        <v>19358.670000000002</v>
      </c>
    </row>
    <row r="6" spans="1:2" x14ac:dyDescent="0.35">
      <c r="A6" s="6" t="s">
        <v>64</v>
      </c>
      <c r="B6" s="4">
        <v>27056.449999999997</v>
      </c>
    </row>
    <row r="7" spans="1:2" x14ac:dyDescent="0.35">
      <c r="A7" s="6" t="s">
        <v>65</v>
      </c>
      <c r="B7" s="4">
        <v>24020.469999999998</v>
      </c>
    </row>
    <row r="8" spans="1:2" x14ac:dyDescent="0.35">
      <c r="A8" s="6" t="s">
        <v>66</v>
      </c>
      <c r="B8" s="4">
        <v>11567.33</v>
      </c>
    </row>
    <row r="9" spans="1:2" x14ac:dyDescent="0.35">
      <c r="A9" s="6" t="s">
        <v>67</v>
      </c>
      <c r="B9" s="4">
        <v>20019.579999999998</v>
      </c>
    </row>
    <row r="10" spans="1:2" x14ac:dyDescent="0.35">
      <c r="A10" s="6" t="s">
        <v>68</v>
      </c>
      <c r="B10" s="4">
        <v>21295.199999999997</v>
      </c>
    </row>
    <row r="11" spans="1:2" x14ac:dyDescent="0.35">
      <c r="A11" s="6" t="s">
        <v>69</v>
      </c>
      <c r="B11" s="4">
        <v>27638.080000000002</v>
      </c>
    </row>
    <row r="12" spans="1:2" x14ac:dyDescent="0.35">
      <c r="A12" s="6" t="s">
        <v>70</v>
      </c>
      <c r="B12" s="4">
        <v>23122.75</v>
      </c>
    </row>
    <row r="13" spans="1:2" x14ac:dyDescent="0.35">
      <c r="A13" s="6" t="s">
        <v>71</v>
      </c>
      <c r="B13" s="4">
        <v>10581.539999999999</v>
      </c>
    </row>
    <row r="14" spans="1:2" x14ac:dyDescent="0.35">
      <c r="A14" s="6" t="s">
        <v>72</v>
      </c>
      <c r="B14" s="4">
        <v>41412.31</v>
      </c>
    </row>
    <row r="15" spans="1:2" x14ac:dyDescent="0.35">
      <c r="A15" s="6" t="s">
        <v>73</v>
      </c>
      <c r="B15" s="4">
        <v>11261.079999999998</v>
      </c>
    </row>
    <row r="16" spans="1:2" x14ac:dyDescent="0.35">
      <c r="A16" s="6" t="s">
        <v>60</v>
      </c>
      <c r="B16" s="4">
        <v>260789.47000000003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A3" sqref="A3"/>
    </sheetView>
  </sheetViews>
  <sheetFormatPr defaultRowHeight="14.5" x14ac:dyDescent="0.35"/>
  <cols>
    <col min="1" max="1" width="12.54296875" bestFit="1" customWidth="1"/>
    <col min="2" max="2" width="17.90625" bestFit="1" customWidth="1"/>
  </cols>
  <sheetData>
    <row r="3" spans="1:2" x14ac:dyDescent="0.35">
      <c r="A3" s="5" t="s">
        <v>59</v>
      </c>
      <c r="B3" t="s">
        <v>74</v>
      </c>
    </row>
    <row r="4" spans="1:2" x14ac:dyDescent="0.35">
      <c r="A4" s="6" t="s">
        <v>34</v>
      </c>
      <c r="B4" s="4">
        <v>-15167050.92</v>
      </c>
    </row>
    <row r="5" spans="1:2" x14ac:dyDescent="0.35">
      <c r="A5" s="6" t="s">
        <v>15</v>
      </c>
      <c r="B5" s="4">
        <v>-15177330.140000012</v>
      </c>
    </row>
    <row r="6" spans="1:2" x14ac:dyDescent="0.35">
      <c r="A6" s="6" t="s">
        <v>25</v>
      </c>
      <c r="B6" s="4">
        <v>-13608579.399999989</v>
      </c>
    </row>
    <row r="7" spans="1:2" x14ac:dyDescent="0.35">
      <c r="A7" s="6" t="s">
        <v>21</v>
      </c>
      <c r="B7" s="4">
        <v>-14869867.949999999</v>
      </c>
    </row>
    <row r="8" spans="1:2" x14ac:dyDescent="0.35">
      <c r="A8" s="6" t="s">
        <v>60</v>
      </c>
      <c r="B8" s="4">
        <v>-58822828.409999996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
  <sheetViews>
    <sheetView showGridLines="0" workbookViewId="0">
      <selection activeCell="T2" sqref="T2"/>
    </sheetView>
  </sheetViews>
  <sheetFormatPr defaultRowHeight="14.5" x14ac:dyDescent="0.35"/>
  <sheetData>
    <row r="1" spans="1:17" ht="31" x14ac:dyDescent="0.7">
      <c r="A1" s="9" t="s">
        <v>75</v>
      </c>
      <c r="B1" s="10"/>
      <c r="C1" s="10"/>
      <c r="D1" s="10"/>
      <c r="E1" s="10"/>
      <c r="F1" s="10"/>
      <c r="G1" s="10"/>
      <c r="H1" s="10"/>
      <c r="I1" s="10"/>
      <c r="J1" s="10"/>
      <c r="K1" s="10"/>
      <c r="L1" s="10"/>
      <c r="M1" s="10"/>
      <c r="N1" s="10"/>
      <c r="O1" s="10"/>
      <c r="P1" s="10"/>
      <c r="Q1" s="10"/>
    </row>
  </sheetData>
  <mergeCells count="1">
    <mergeCell ref="A1:Q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001"/>
  <sheetViews>
    <sheetView topLeftCell="A2" workbookViewId="0">
      <selection activeCell="O7" sqref="O7"/>
    </sheetView>
  </sheetViews>
  <sheetFormatPr defaultRowHeight="14.5" x14ac:dyDescent="0.35"/>
  <cols>
    <col min="1" max="1" width="12.36328125" customWidth="1"/>
    <col min="2" max="2" width="14.54296875" customWidth="1"/>
    <col min="3" max="3" width="13" customWidth="1"/>
    <col min="5" max="5" width="19.54296875" customWidth="1"/>
    <col min="6" max="6" width="14.90625" customWidth="1"/>
    <col min="7" max="7" width="18.08984375" customWidth="1"/>
    <col min="8" max="8" width="15.90625" customWidth="1"/>
    <col min="9" max="9" width="13.90625" customWidth="1"/>
    <col min="10" max="10" width="16.08984375" customWidth="1"/>
    <col min="11" max="11" width="10.1796875" customWidth="1"/>
    <col min="12" max="12" width="19" customWidth="1"/>
    <col min="13" max="13" width="15" customWidth="1"/>
    <col min="14" max="14" width="22.36328125" customWidth="1"/>
    <col min="15" max="15" width="9.90625" customWidth="1"/>
    <col min="17" max="17" width="9.08984375" bestFit="1" customWidth="1"/>
  </cols>
  <sheetData>
    <row r="1" spans="1:19" s="2" customForma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54</v>
      </c>
      <c r="P1" s="2" t="s">
        <v>55</v>
      </c>
      <c r="Q1" s="2" t="s">
        <v>56</v>
      </c>
      <c r="R1" s="2" t="s">
        <v>57</v>
      </c>
      <c r="S1" s="2" t="s">
        <v>58</v>
      </c>
    </row>
    <row r="2" spans="1:19" x14ac:dyDescent="0.35">
      <c r="A2">
        <v>1052</v>
      </c>
      <c r="B2" s="1">
        <v>44960</v>
      </c>
      <c r="C2" t="s">
        <v>14</v>
      </c>
      <c r="D2" t="s">
        <v>15</v>
      </c>
      <c r="E2">
        <v>5053.97</v>
      </c>
      <c r="F2">
        <v>18</v>
      </c>
      <c r="G2" t="s">
        <v>16</v>
      </c>
      <c r="H2">
        <v>152.75</v>
      </c>
      <c r="I2">
        <v>267.22000000000003</v>
      </c>
      <c r="J2" t="s">
        <v>17</v>
      </c>
      <c r="K2">
        <v>0.09</v>
      </c>
      <c r="L2" t="s">
        <v>18</v>
      </c>
      <c r="M2" t="s">
        <v>19</v>
      </c>
      <c r="N2" t="s">
        <v>20</v>
      </c>
      <c r="O2">
        <f>Table2[[#This Row],[Unit_Cost]]*Table2[[#This Row],[Quantity_Sold]]</f>
        <v>2749.5</v>
      </c>
      <c r="P2">
        <f t="shared" ref="P2:P65" si="0">E2-O2</f>
        <v>2304.4700000000003</v>
      </c>
      <c r="Q2" s="3">
        <f>Table2[[#This Row],[Gross_Profit]]/Table2[[#This Row],[Sales_Amount]]</f>
        <v>0.45597223568798395</v>
      </c>
      <c r="R2" t="str">
        <f>TEXT(Table2[[#This Row],[Sale_Date]],"mmmm")</f>
        <v>February</v>
      </c>
      <c r="S2" s="4">
        <f>YEAR(Table2[[#This Row],[Sale_Date]])</f>
        <v>2023</v>
      </c>
    </row>
    <row r="3" spans="1:19" x14ac:dyDescent="0.35">
      <c r="A3">
        <v>1093</v>
      </c>
      <c r="B3" s="1">
        <v>45037</v>
      </c>
      <c r="C3" t="s">
        <v>14</v>
      </c>
      <c r="D3" t="s">
        <v>21</v>
      </c>
      <c r="E3">
        <v>4384.0200000000004</v>
      </c>
      <c r="F3">
        <v>17</v>
      </c>
      <c r="G3" t="s">
        <v>16</v>
      </c>
      <c r="H3">
        <v>3816.39</v>
      </c>
      <c r="I3">
        <v>4209.4399999999996</v>
      </c>
      <c r="J3" t="s">
        <v>17</v>
      </c>
      <c r="K3">
        <v>0.11</v>
      </c>
      <c r="L3" t="s">
        <v>18</v>
      </c>
      <c r="M3" t="s">
        <v>22</v>
      </c>
      <c r="N3" t="s">
        <v>23</v>
      </c>
      <c r="O3">
        <f>Table2[[#This Row],[Unit_Cost]]*Table2[[#This Row],[Quantity_Sold]]</f>
        <v>64878.63</v>
      </c>
      <c r="P3">
        <f t="shared" si="0"/>
        <v>-60494.61</v>
      </c>
      <c r="Q3" s="3">
        <f>Table2[[#This Row],[Gross_Profit]]/Table2[[#This Row],[Sales_Amount]]</f>
        <v>-13.798890059808119</v>
      </c>
      <c r="R3" t="str">
        <f>TEXT(Table2[[#This Row],[Sale_Date]],"mmmm")</f>
        <v>April</v>
      </c>
      <c r="S3" s="4">
        <f>YEAR(Table2[[#This Row],[Sale_Date]])</f>
        <v>2023</v>
      </c>
    </row>
    <row r="4" spans="1:19" x14ac:dyDescent="0.35">
      <c r="A4">
        <v>1015</v>
      </c>
      <c r="B4" s="1">
        <v>45190</v>
      </c>
      <c r="C4" t="s">
        <v>24</v>
      </c>
      <c r="D4" t="s">
        <v>25</v>
      </c>
      <c r="E4">
        <v>4631.2299999999996</v>
      </c>
      <c r="F4">
        <v>30</v>
      </c>
      <c r="G4" t="s">
        <v>26</v>
      </c>
      <c r="H4">
        <v>261.56</v>
      </c>
      <c r="I4">
        <v>371.4</v>
      </c>
      <c r="J4" t="s">
        <v>17</v>
      </c>
      <c r="K4">
        <v>0.2</v>
      </c>
      <c r="L4" t="s">
        <v>27</v>
      </c>
      <c r="M4" t="s">
        <v>22</v>
      </c>
      <c r="N4" t="s">
        <v>28</v>
      </c>
      <c r="O4">
        <f>Table2[[#This Row],[Unit_Cost]]*Table2[[#This Row],[Quantity_Sold]]</f>
        <v>7846.8</v>
      </c>
      <c r="P4">
        <f t="shared" si="0"/>
        <v>-3215.5700000000006</v>
      </c>
      <c r="Q4" s="3">
        <f>Table2[[#This Row],[Gross_Profit]]/Table2[[#This Row],[Sales_Amount]]</f>
        <v>-0.69432310638858374</v>
      </c>
      <c r="R4" t="str">
        <f>TEXT(Table2[[#This Row],[Sale_Date]],"mmmm")</f>
        <v>September</v>
      </c>
      <c r="S4" s="4">
        <f>YEAR(Table2[[#This Row],[Sale_Date]])</f>
        <v>2023</v>
      </c>
    </row>
    <row r="5" spans="1:19" x14ac:dyDescent="0.35">
      <c r="A5">
        <v>1072</v>
      </c>
      <c r="B5" s="1">
        <v>45162</v>
      </c>
      <c r="C5" t="s">
        <v>14</v>
      </c>
      <c r="D5" t="s">
        <v>25</v>
      </c>
      <c r="E5">
        <v>2167.94</v>
      </c>
      <c r="F5">
        <v>39</v>
      </c>
      <c r="G5" t="s">
        <v>29</v>
      </c>
      <c r="H5">
        <v>4330.03</v>
      </c>
      <c r="I5">
        <v>4467.75</v>
      </c>
      <c r="J5" t="s">
        <v>30</v>
      </c>
      <c r="K5">
        <v>0.02</v>
      </c>
      <c r="L5" t="s">
        <v>31</v>
      </c>
      <c r="M5" t="s">
        <v>22</v>
      </c>
      <c r="N5" t="s">
        <v>32</v>
      </c>
      <c r="O5">
        <f>Table2[[#This Row],[Unit_Cost]]*Table2[[#This Row],[Quantity_Sold]]</f>
        <v>168871.16999999998</v>
      </c>
      <c r="P5">
        <f t="shared" si="0"/>
        <v>-166703.22999999998</v>
      </c>
      <c r="Q5" s="3">
        <f>Table2[[#This Row],[Gross_Profit]]/Table2[[#This Row],[Sales_Amount]]</f>
        <v>-76.894761847652603</v>
      </c>
      <c r="R5" t="str">
        <f>TEXT(Table2[[#This Row],[Sale_Date]],"mmmm")</f>
        <v>August</v>
      </c>
      <c r="S5" s="4">
        <f>YEAR(Table2[[#This Row],[Sale_Date]])</f>
        <v>2023</v>
      </c>
    </row>
    <row r="6" spans="1:19" x14ac:dyDescent="0.35">
      <c r="A6">
        <v>1061</v>
      </c>
      <c r="B6" s="1">
        <v>45009</v>
      </c>
      <c r="C6" t="s">
        <v>33</v>
      </c>
      <c r="D6" t="s">
        <v>34</v>
      </c>
      <c r="E6">
        <v>3750.2</v>
      </c>
      <c r="F6">
        <v>13</v>
      </c>
      <c r="G6" t="s">
        <v>35</v>
      </c>
      <c r="H6">
        <v>637.37</v>
      </c>
      <c r="I6">
        <v>692.71</v>
      </c>
      <c r="J6" t="s">
        <v>30</v>
      </c>
      <c r="K6">
        <v>0.08</v>
      </c>
      <c r="L6" t="s">
        <v>31</v>
      </c>
      <c r="M6" t="s">
        <v>19</v>
      </c>
      <c r="N6" t="s">
        <v>36</v>
      </c>
      <c r="O6">
        <f>Table2[[#This Row],[Unit_Cost]]*Table2[[#This Row],[Quantity_Sold]]</f>
        <v>8285.81</v>
      </c>
      <c r="P6">
        <f t="shared" si="0"/>
        <v>-4535.6099999999997</v>
      </c>
      <c r="Q6" s="3">
        <f>Table2[[#This Row],[Gross_Profit]]/Table2[[#This Row],[Sales_Amount]]</f>
        <v>-1.2094314969868274</v>
      </c>
      <c r="R6" t="str">
        <f>TEXT(Table2[[#This Row],[Sale_Date]],"mmmm")</f>
        <v>March</v>
      </c>
      <c r="S6" s="4">
        <f>YEAR(Table2[[#This Row],[Sale_Date]])</f>
        <v>2023</v>
      </c>
    </row>
    <row r="7" spans="1:19" x14ac:dyDescent="0.35">
      <c r="A7">
        <v>1021</v>
      </c>
      <c r="B7" s="1">
        <v>44968</v>
      </c>
      <c r="C7" t="s">
        <v>33</v>
      </c>
      <c r="D7" t="s">
        <v>21</v>
      </c>
      <c r="E7">
        <v>3761.15</v>
      </c>
      <c r="F7">
        <v>32</v>
      </c>
      <c r="G7" t="s">
        <v>26</v>
      </c>
      <c r="H7">
        <v>900.79</v>
      </c>
      <c r="I7">
        <v>1106.51</v>
      </c>
      <c r="J7" t="s">
        <v>30</v>
      </c>
      <c r="K7">
        <v>0.21</v>
      </c>
      <c r="L7" t="s">
        <v>18</v>
      </c>
      <c r="M7" t="s">
        <v>19</v>
      </c>
      <c r="N7" t="s">
        <v>37</v>
      </c>
      <c r="O7">
        <f>Table2[[#This Row],[Unit_Cost]]*Table2[[#This Row],[Quantity_Sold]]</f>
        <v>28825.279999999999</v>
      </c>
      <c r="P7">
        <f t="shared" si="0"/>
        <v>-25064.129999999997</v>
      </c>
      <c r="Q7" s="3">
        <f>Table2[[#This Row],[Gross_Profit]]/Table2[[#This Row],[Sales_Amount]]</f>
        <v>-6.6639538439041246</v>
      </c>
      <c r="R7" t="str">
        <f>TEXT(Table2[[#This Row],[Sale_Date]],"mmmm")</f>
        <v>February</v>
      </c>
      <c r="S7" s="4">
        <f>YEAR(Table2[[#This Row],[Sale_Date]])</f>
        <v>2023</v>
      </c>
    </row>
    <row r="8" spans="1:19" x14ac:dyDescent="0.35">
      <c r="A8">
        <v>1083</v>
      </c>
      <c r="B8" s="1">
        <v>45027</v>
      </c>
      <c r="C8" t="s">
        <v>14</v>
      </c>
      <c r="D8" t="s">
        <v>21</v>
      </c>
      <c r="E8">
        <v>618.30999999999995</v>
      </c>
      <c r="F8">
        <v>29</v>
      </c>
      <c r="G8" t="s">
        <v>16</v>
      </c>
      <c r="H8">
        <v>2408.81</v>
      </c>
      <c r="I8">
        <v>2624.09</v>
      </c>
      <c r="J8" t="s">
        <v>17</v>
      </c>
      <c r="K8">
        <v>0.14000000000000001</v>
      </c>
      <c r="L8" t="s">
        <v>18</v>
      </c>
      <c r="M8" t="s">
        <v>19</v>
      </c>
      <c r="N8" t="s">
        <v>23</v>
      </c>
      <c r="O8">
        <f>Table2[[#This Row],[Unit_Cost]]*Table2[[#This Row],[Quantity_Sold]]</f>
        <v>69855.490000000005</v>
      </c>
      <c r="P8">
        <f t="shared" si="0"/>
        <v>-69237.180000000008</v>
      </c>
      <c r="Q8" s="3">
        <f>Table2[[#This Row],[Gross_Profit]]/Table2[[#This Row],[Sales_Amount]]</f>
        <v>-111.9781015995213</v>
      </c>
      <c r="R8" t="str">
        <f>TEXT(Table2[[#This Row],[Sale_Date]],"mmmm")</f>
        <v>April</v>
      </c>
      <c r="S8" s="4">
        <f>YEAR(Table2[[#This Row],[Sale_Date]])</f>
        <v>2023</v>
      </c>
    </row>
    <row r="9" spans="1:19" x14ac:dyDescent="0.35">
      <c r="A9">
        <v>1087</v>
      </c>
      <c r="B9" s="1">
        <v>44932</v>
      </c>
      <c r="C9" t="s">
        <v>38</v>
      </c>
      <c r="D9" t="s">
        <v>25</v>
      </c>
      <c r="E9">
        <v>7698.92</v>
      </c>
      <c r="F9">
        <v>46</v>
      </c>
      <c r="G9" t="s">
        <v>16</v>
      </c>
      <c r="H9">
        <v>3702.51</v>
      </c>
      <c r="I9">
        <v>3964.65</v>
      </c>
      <c r="J9" t="s">
        <v>30</v>
      </c>
      <c r="K9">
        <v>0.12</v>
      </c>
      <c r="L9" t="s">
        <v>27</v>
      </c>
      <c r="M9" t="s">
        <v>19</v>
      </c>
      <c r="N9" t="s">
        <v>39</v>
      </c>
      <c r="O9">
        <f>Table2[[#This Row],[Unit_Cost]]*Table2[[#This Row],[Quantity_Sold]]</f>
        <v>170315.46000000002</v>
      </c>
      <c r="P9">
        <f t="shared" si="0"/>
        <v>-162616.54</v>
      </c>
      <c r="Q9" s="3">
        <f>Table2[[#This Row],[Gross_Profit]]/Table2[[#This Row],[Sales_Amount]]</f>
        <v>-21.121993734186095</v>
      </c>
      <c r="R9" t="str">
        <f>TEXT(Table2[[#This Row],[Sale_Date]],"mmmm")</f>
        <v>January</v>
      </c>
      <c r="S9" s="4">
        <f>YEAR(Table2[[#This Row],[Sale_Date]])</f>
        <v>2023</v>
      </c>
    </row>
    <row r="10" spans="1:19" x14ac:dyDescent="0.35">
      <c r="A10">
        <v>1075</v>
      </c>
      <c r="B10" s="1">
        <v>45106</v>
      </c>
      <c r="C10" t="s">
        <v>24</v>
      </c>
      <c r="D10" t="s">
        <v>25</v>
      </c>
      <c r="E10">
        <v>4223.3900000000003</v>
      </c>
      <c r="F10">
        <v>30</v>
      </c>
      <c r="G10" t="s">
        <v>16</v>
      </c>
      <c r="H10">
        <v>738.06</v>
      </c>
      <c r="I10">
        <v>1095.44999999999</v>
      </c>
      <c r="J10" t="s">
        <v>30</v>
      </c>
      <c r="K10">
        <v>0.05</v>
      </c>
      <c r="L10" t="s">
        <v>27</v>
      </c>
      <c r="M10" t="s">
        <v>19</v>
      </c>
      <c r="N10" t="s">
        <v>28</v>
      </c>
      <c r="O10">
        <f>Table2[[#This Row],[Unit_Cost]]*Table2[[#This Row],[Quantity_Sold]]</f>
        <v>22141.8</v>
      </c>
      <c r="P10">
        <f t="shared" si="0"/>
        <v>-17918.41</v>
      </c>
      <c r="Q10" s="3">
        <f>Table2[[#This Row],[Gross_Profit]]/Table2[[#This Row],[Sales_Amount]]</f>
        <v>-4.2426605167886455</v>
      </c>
      <c r="R10" t="str">
        <f>TEXT(Table2[[#This Row],[Sale_Date]],"mmmm")</f>
        <v>June</v>
      </c>
      <c r="S10" s="4">
        <f>YEAR(Table2[[#This Row],[Sale_Date]])</f>
        <v>2023</v>
      </c>
    </row>
    <row r="11" spans="1:19" x14ac:dyDescent="0.35">
      <c r="A11">
        <v>1075</v>
      </c>
      <c r="B11" s="1">
        <v>45208</v>
      </c>
      <c r="C11" t="s">
        <v>33</v>
      </c>
      <c r="D11" t="s">
        <v>21</v>
      </c>
      <c r="E11">
        <v>8239.58</v>
      </c>
      <c r="F11">
        <v>18</v>
      </c>
      <c r="G11" t="s">
        <v>29</v>
      </c>
      <c r="H11">
        <v>2228.35</v>
      </c>
      <c r="I11">
        <v>2682.34</v>
      </c>
      <c r="J11" t="s">
        <v>30</v>
      </c>
      <c r="K11">
        <v>0.13</v>
      </c>
      <c r="L11" t="s">
        <v>27</v>
      </c>
      <c r="M11" t="s">
        <v>19</v>
      </c>
      <c r="N11" t="s">
        <v>37</v>
      </c>
      <c r="O11">
        <f>Table2[[#This Row],[Unit_Cost]]*Table2[[#This Row],[Quantity_Sold]]</f>
        <v>40110.299999999996</v>
      </c>
      <c r="P11">
        <f t="shared" si="0"/>
        <v>-31870.719999999994</v>
      </c>
      <c r="Q11" s="3">
        <f>Table2[[#This Row],[Gross_Profit]]/Table2[[#This Row],[Sales_Amount]]</f>
        <v>-3.8680029807344543</v>
      </c>
      <c r="R11" t="str">
        <f>TEXT(Table2[[#This Row],[Sale_Date]],"mmmm")</f>
        <v>October</v>
      </c>
      <c r="S11" s="4">
        <f>YEAR(Table2[[#This Row],[Sale_Date]])</f>
        <v>2023</v>
      </c>
    </row>
    <row r="12" spans="1:19" x14ac:dyDescent="0.35">
      <c r="A12">
        <v>1088</v>
      </c>
      <c r="B12" s="1">
        <v>45246</v>
      </c>
      <c r="C12" t="s">
        <v>38</v>
      </c>
      <c r="D12" t="s">
        <v>15</v>
      </c>
      <c r="E12">
        <v>8518.4500000000007</v>
      </c>
      <c r="F12">
        <v>13</v>
      </c>
      <c r="G12" t="s">
        <v>16</v>
      </c>
      <c r="H12">
        <v>2440.11</v>
      </c>
      <c r="I12">
        <v>2517.6</v>
      </c>
      <c r="J12" t="s">
        <v>30</v>
      </c>
      <c r="K12">
        <v>0.23</v>
      </c>
      <c r="L12" t="s">
        <v>27</v>
      </c>
      <c r="M12" t="s">
        <v>22</v>
      </c>
      <c r="N12" t="s">
        <v>40</v>
      </c>
      <c r="O12">
        <f>Table2[[#This Row],[Unit_Cost]]*Table2[[#This Row],[Quantity_Sold]]</f>
        <v>31721.43</v>
      </c>
      <c r="P12">
        <f t="shared" si="0"/>
        <v>-23202.98</v>
      </c>
      <c r="Q12" s="3">
        <f>Table2[[#This Row],[Gross_Profit]]/Table2[[#This Row],[Sales_Amount]]</f>
        <v>-2.7238499961847515</v>
      </c>
      <c r="R12" t="str">
        <f>TEXT(Table2[[#This Row],[Sale_Date]],"mmmm")</f>
        <v>November</v>
      </c>
      <c r="S12" s="4">
        <f>YEAR(Table2[[#This Row],[Sale_Date]])</f>
        <v>2023</v>
      </c>
    </row>
    <row r="13" spans="1:19" x14ac:dyDescent="0.35">
      <c r="A13">
        <v>1100</v>
      </c>
      <c r="B13" s="1">
        <v>45152</v>
      </c>
      <c r="C13" t="s">
        <v>14</v>
      </c>
      <c r="D13" t="s">
        <v>21</v>
      </c>
      <c r="E13">
        <v>2198.7399999999998</v>
      </c>
      <c r="F13">
        <v>43</v>
      </c>
      <c r="G13" t="s">
        <v>26</v>
      </c>
      <c r="H13">
        <v>1100.81</v>
      </c>
      <c r="I13">
        <v>1137.44</v>
      </c>
      <c r="J13" t="s">
        <v>17</v>
      </c>
      <c r="K13">
        <v>0.08</v>
      </c>
      <c r="L13" t="s">
        <v>27</v>
      </c>
      <c r="M13" t="s">
        <v>19</v>
      </c>
      <c r="N13" t="s">
        <v>23</v>
      </c>
      <c r="O13">
        <f>Table2[[#This Row],[Unit_Cost]]*Table2[[#This Row],[Quantity_Sold]]</f>
        <v>47334.829999999994</v>
      </c>
      <c r="P13">
        <f t="shared" si="0"/>
        <v>-45136.09</v>
      </c>
      <c r="Q13" s="3">
        <f>Table2[[#This Row],[Gross_Profit]]/Table2[[#This Row],[Sales_Amount]]</f>
        <v>-20.528161583452341</v>
      </c>
      <c r="R13" t="str">
        <f>TEXT(Table2[[#This Row],[Sale_Date]],"mmmm")</f>
        <v>August</v>
      </c>
      <c r="S13" s="4">
        <f>YEAR(Table2[[#This Row],[Sale_Date]])</f>
        <v>2023</v>
      </c>
    </row>
    <row r="14" spans="1:19" x14ac:dyDescent="0.35">
      <c r="A14">
        <v>1024</v>
      </c>
      <c r="B14" s="1">
        <v>45241</v>
      </c>
      <c r="C14" t="s">
        <v>38</v>
      </c>
      <c r="D14" t="s">
        <v>21</v>
      </c>
      <c r="E14">
        <v>6607.8</v>
      </c>
      <c r="F14">
        <v>21</v>
      </c>
      <c r="G14" t="s">
        <v>26</v>
      </c>
      <c r="H14">
        <v>622.01</v>
      </c>
      <c r="I14">
        <v>641.09</v>
      </c>
      <c r="J14" t="s">
        <v>17</v>
      </c>
      <c r="K14">
        <v>0</v>
      </c>
      <c r="L14" t="s">
        <v>27</v>
      </c>
      <c r="M14" t="s">
        <v>22</v>
      </c>
      <c r="N14" t="s">
        <v>41</v>
      </c>
      <c r="O14">
        <f>Table2[[#This Row],[Unit_Cost]]*Table2[[#This Row],[Quantity_Sold]]</f>
        <v>13062.21</v>
      </c>
      <c r="P14">
        <f t="shared" si="0"/>
        <v>-6454.4099999999989</v>
      </c>
      <c r="Q14" s="3">
        <f>Table2[[#This Row],[Gross_Profit]]/Table2[[#This Row],[Sales_Amount]]</f>
        <v>-0.97678652501589014</v>
      </c>
      <c r="R14" t="str">
        <f>TEXT(Table2[[#This Row],[Sale_Date]],"mmmm")</f>
        <v>November</v>
      </c>
      <c r="S14" s="4">
        <f>YEAR(Table2[[#This Row],[Sale_Date]])</f>
        <v>2023</v>
      </c>
    </row>
    <row r="15" spans="1:19" x14ac:dyDescent="0.35">
      <c r="A15">
        <v>1003</v>
      </c>
      <c r="B15" s="1">
        <v>45291</v>
      </c>
      <c r="C15" t="s">
        <v>42</v>
      </c>
      <c r="D15" t="s">
        <v>25</v>
      </c>
      <c r="E15">
        <v>4775.59</v>
      </c>
      <c r="F15">
        <v>30</v>
      </c>
      <c r="G15" t="s">
        <v>16</v>
      </c>
      <c r="H15">
        <v>4190.28</v>
      </c>
      <c r="I15">
        <v>4270.6499999999996</v>
      </c>
      <c r="J15" t="s">
        <v>30</v>
      </c>
      <c r="K15">
        <v>0.2</v>
      </c>
      <c r="L15" t="s">
        <v>18</v>
      </c>
      <c r="M15" t="s">
        <v>19</v>
      </c>
      <c r="N15" t="s">
        <v>43</v>
      </c>
      <c r="O15">
        <f>Table2[[#This Row],[Unit_Cost]]*Table2[[#This Row],[Quantity_Sold]]</f>
        <v>125708.4</v>
      </c>
      <c r="P15">
        <f t="shared" si="0"/>
        <v>-120932.81</v>
      </c>
      <c r="Q15" s="3">
        <f>Table2[[#This Row],[Gross_Profit]]/Table2[[#This Row],[Sales_Amount]]</f>
        <v>-25.323114002667733</v>
      </c>
      <c r="R15" t="str">
        <f>TEXT(Table2[[#This Row],[Sale_Date]],"mmmm")</f>
        <v>December</v>
      </c>
      <c r="S15" s="4">
        <f>YEAR(Table2[[#This Row],[Sale_Date]])</f>
        <v>2023</v>
      </c>
    </row>
    <row r="16" spans="1:19" x14ac:dyDescent="0.35">
      <c r="A16">
        <v>1022</v>
      </c>
      <c r="B16" s="1">
        <v>45155</v>
      </c>
      <c r="C16" t="s">
        <v>33</v>
      </c>
      <c r="D16" t="s">
        <v>25</v>
      </c>
      <c r="E16">
        <v>8813.5499999999993</v>
      </c>
      <c r="F16">
        <v>21</v>
      </c>
      <c r="G16" t="s">
        <v>26</v>
      </c>
      <c r="H16">
        <v>2537.1999999999998</v>
      </c>
      <c r="I16">
        <v>2869.6</v>
      </c>
      <c r="J16" t="s">
        <v>30</v>
      </c>
      <c r="K16">
        <v>0.28999999999999998</v>
      </c>
      <c r="L16" t="s">
        <v>27</v>
      </c>
      <c r="M16" t="s">
        <v>22</v>
      </c>
      <c r="N16" t="s">
        <v>44</v>
      </c>
      <c r="O16">
        <f>Table2[[#This Row],[Unit_Cost]]*Table2[[#This Row],[Quantity_Sold]]</f>
        <v>53281.2</v>
      </c>
      <c r="P16">
        <f t="shared" si="0"/>
        <v>-44467.649999999994</v>
      </c>
      <c r="Q16" s="3">
        <f>Table2[[#This Row],[Gross_Profit]]/Table2[[#This Row],[Sales_Amount]]</f>
        <v>-5.0453733172217774</v>
      </c>
      <c r="R16" t="str">
        <f>TEXT(Table2[[#This Row],[Sale_Date]],"mmmm")</f>
        <v>August</v>
      </c>
      <c r="S16" s="4">
        <f>YEAR(Table2[[#This Row],[Sale_Date]])</f>
        <v>2023</v>
      </c>
    </row>
    <row r="17" spans="1:19" x14ac:dyDescent="0.35">
      <c r="A17">
        <v>1053</v>
      </c>
      <c r="B17" s="1">
        <v>45215</v>
      </c>
      <c r="C17" t="s">
        <v>14</v>
      </c>
      <c r="D17" t="s">
        <v>15</v>
      </c>
      <c r="E17">
        <v>2235.83</v>
      </c>
      <c r="F17">
        <v>48</v>
      </c>
      <c r="G17" t="s">
        <v>16</v>
      </c>
      <c r="H17">
        <v>121.19</v>
      </c>
      <c r="I17">
        <v>487.65</v>
      </c>
      <c r="J17" t="s">
        <v>30</v>
      </c>
      <c r="K17">
        <v>0.18</v>
      </c>
      <c r="L17" t="s">
        <v>18</v>
      </c>
      <c r="M17" t="s">
        <v>22</v>
      </c>
      <c r="N17" t="s">
        <v>20</v>
      </c>
      <c r="O17">
        <f>Table2[[#This Row],[Unit_Cost]]*Table2[[#This Row],[Quantity_Sold]]</f>
        <v>5817.12</v>
      </c>
      <c r="P17">
        <f t="shared" si="0"/>
        <v>-3581.29</v>
      </c>
      <c r="Q17" s="3">
        <f>Table2[[#This Row],[Gross_Profit]]/Table2[[#This Row],[Sales_Amount]]</f>
        <v>-1.6017720488588132</v>
      </c>
      <c r="R17" t="str">
        <f>TEXT(Table2[[#This Row],[Sale_Date]],"mmmm")</f>
        <v>October</v>
      </c>
      <c r="S17" s="4">
        <f>YEAR(Table2[[#This Row],[Sale_Date]])</f>
        <v>2023</v>
      </c>
    </row>
    <row r="18" spans="1:19" x14ac:dyDescent="0.35">
      <c r="A18">
        <v>1002</v>
      </c>
      <c r="B18" s="1">
        <v>45076</v>
      </c>
      <c r="C18" t="s">
        <v>24</v>
      </c>
      <c r="D18" t="s">
        <v>15</v>
      </c>
      <c r="E18">
        <v>6810.35</v>
      </c>
      <c r="F18">
        <v>17</v>
      </c>
      <c r="G18" t="s">
        <v>16</v>
      </c>
      <c r="H18">
        <v>4024.76</v>
      </c>
      <c r="I18">
        <v>4420.1499999999996</v>
      </c>
      <c r="J18" t="s">
        <v>17</v>
      </c>
      <c r="K18">
        <v>0.04</v>
      </c>
      <c r="L18" t="s">
        <v>18</v>
      </c>
      <c r="M18" t="s">
        <v>19</v>
      </c>
      <c r="N18" t="s">
        <v>45</v>
      </c>
      <c r="O18">
        <f>Table2[[#This Row],[Unit_Cost]]*Table2[[#This Row],[Quantity_Sold]]</f>
        <v>68420.92</v>
      </c>
      <c r="P18">
        <f t="shared" si="0"/>
        <v>-61610.57</v>
      </c>
      <c r="Q18" s="3">
        <f>Table2[[#This Row],[Gross_Profit]]/Table2[[#This Row],[Sales_Amount]]</f>
        <v>-9.0466084709302752</v>
      </c>
      <c r="R18" t="str">
        <f>TEXT(Table2[[#This Row],[Sale_Date]],"mmmm")</f>
        <v>May</v>
      </c>
      <c r="S18" s="4">
        <f>YEAR(Table2[[#This Row],[Sale_Date]])</f>
        <v>2023</v>
      </c>
    </row>
    <row r="19" spans="1:19" x14ac:dyDescent="0.35">
      <c r="A19">
        <v>1088</v>
      </c>
      <c r="B19" s="1">
        <v>45203</v>
      </c>
      <c r="C19" t="s">
        <v>14</v>
      </c>
      <c r="D19" t="s">
        <v>34</v>
      </c>
      <c r="E19">
        <v>6116.75</v>
      </c>
      <c r="F19">
        <v>40</v>
      </c>
      <c r="G19" t="s">
        <v>35</v>
      </c>
      <c r="H19">
        <v>4904.93</v>
      </c>
      <c r="I19">
        <v>5034.3500000000004</v>
      </c>
      <c r="J19" t="s">
        <v>30</v>
      </c>
      <c r="K19">
        <v>0.1</v>
      </c>
      <c r="L19" t="s">
        <v>31</v>
      </c>
      <c r="M19" t="s">
        <v>22</v>
      </c>
      <c r="N19" t="s">
        <v>46</v>
      </c>
      <c r="O19">
        <f>Table2[[#This Row],[Unit_Cost]]*Table2[[#This Row],[Quantity_Sold]]</f>
        <v>196197.2</v>
      </c>
      <c r="P19">
        <f t="shared" si="0"/>
        <v>-190080.45</v>
      </c>
      <c r="Q19" s="3">
        <f>Table2[[#This Row],[Gross_Profit]]/Table2[[#This Row],[Sales_Amount]]</f>
        <v>-31.075399517717745</v>
      </c>
      <c r="R19" t="str">
        <f>TEXT(Table2[[#This Row],[Sale_Date]],"mmmm")</f>
        <v>October</v>
      </c>
      <c r="S19" s="4">
        <f>YEAR(Table2[[#This Row],[Sale_Date]])</f>
        <v>2023</v>
      </c>
    </row>
    <row r="20" spans="1:19" x14ac:dyDescent="0.35">
      <c r="A20">
        <v>1030</v>
      </c>
      <c r="B20" s="1">
        <v>45124</v>
      </c>
      <c r="C20" t="s">
        <v>24</v>
      </c>
      <c r="D20" t="s">
        <v>21</v>
      </c>
      <c r="E20">
        <v>3023.48</v>
      </c>
      <c r="F20">
        <v>19</v>
      </c>
      <c r="G20" t="s">
        <v>29</v>
      </c>
      <c r="H20">
        <v>3049.33</v>
      </c>
      <c r="I20">
        <v>3209.22</v>
      </c>
      <c r="J20" t="s">
        <v>17</v>
      </c>
      <c r="K20">
        <v>0.26</v>
      </c>
      <c r="L20" t="s">
        <v>18</v>
      </c>
      <c r="M20" t="s">
        <v>19</v>
      </c>
      <c r="N20" t="s">
        <v>47</v>
      </c>
      <c r="O20">
        <f>Table2[[#This Row],[Unit_Cost]]*Table2[[#This Row],[Quantity_Sold]]</f>
        <v>57937.27</v>
      </c>
      <c r="P20">
        <f t="shared" si="0"/>
        <v>-54913.789999999994</v>
      </c>
      <c r="Q20" s="3">
        <f>Table2[[#This Row],[Gross_Profit]]/Table2[[#This Row],[Sales_Amount]]</f>
        <v>-18.162445261751358</v>
      </c>
      <c r="R20" t="str">
        <f>TEXT(Table2[[#This Row],[Sale_Date]],"mmmm")</f>
        <v>July</v>
      </c>
      <c r="S20" s="4">
        <f>YEAR(Table2[[#This Row],[Sale_Date]])</f>
        <v>2023</v>
      </c>
    </row>
    <row r="21" spans="1:19" x14ac:dyDescent="0.35">
      <c r="A21">
        <v>1038</v>
      </c>
      <c r="B21" s="1">
        <v>44996</v>
      </c>
      <c r="C21" t="s">
        <v>14</v>
      </c>
      <c r="D21" t="s">
        <v>25</v>
      </c>
      <c r="E21">
        <v>1452.35</v>
      </c>
      <c r="F21">
        <v>15</v>
      </c>
      <c r="G21" t="s">
        <v>29</v>
      </c>
      <c r="H21">
        <v>2543.36</v>
      </c>
      <c r="I21">
        <v>2790.1</v>
      </c>
      <c r="J21" t="s">
        <v>17</v>
      </c>
      <c r="K21">
        <v>7.0000000000000007E-2</v>
      </c>
      <c r="L21" t="s">
        <v>18</v>
      </c>
      <c r="M21" t="s">
        <v>19</v>
      </c>
      <c r="N21" t="s">
        <v>32</v>
      </c>
      <c r="O21">
        <f>Table2[[#This Row],[Unit_Cost]]*Table2[[#This Row],[Quantity_Sold]]</f>
        <v>38150.400000000001</v>
      </c>
      <c r="P21">
        <f t="shared" si="0"/>
        <v>-36698.050000000003</v>
      </c>
      <c r="Q21" s="3">
        <f>Table2[[#This Row],[Gross_Profit]]/Table2[[#This Row],[Sales_Amount]]</f>
        <v>-25.268048335456331</v>
      </c>
      <c r="R21" t="str">
        <f>TEXT(Table2[[#This Row],[Sale_Date]],"mmmm")</f>
        <v>March</v>
      </c>
      <c r="S21" s="4">
        <f>YEAR(Table2[[#This Row],[Sale_Date]])</f>
        <v>2023</v>
      </c>
    </row>
    <row r="22" spans="1:19" x14ac:dyDescent="0.35">
      <c r="A22">
        <v>1002</v>
      </c>
      <c r="B22" s="1">
        <v>45038</v>
      </c>
      <c r="C22" t="s">
        <v>38</v>
      </c>
      <c r="D22" t="s">
        <v>15</v>
      </c>
      <c r="E22">
        <v>6551.23</v>
      </c>
      <c r="F22">
        <v>9</v>
      </c>
      <c r="G22" t="s">
        <v>35</v>
      </c>
      <c r="H22">
        <v>4398.16</v>
      </c>
      <c r="I22">
        <v>4439.12</v>
      </c>
      <c r="J22" t="s">
        <v>30</v>
      </c>
      <c r="K22">
        <v>0.18</v>
      </c>
      <c r="L22" t="s">
        <v>27</v>
      </c>
      <c r="M22" t="s">
        <v>19</v>
      </c>
      <c r="N22" t="s">
        <v>40</v>
      </c>
      <c r="O22">
        <f>Table2[[#This Row],[Unit_Cost]]*Table2[[#This Row],[Quantity_Sold]]</f>
        <v>39583.440000000002</v>
      </c>
      <c r="P22">
        <f t="shared" si="0"/>
        <v>-33032.210000000006</v>
      </c>
      <c r="Q22" s="3">
        <f>Table2[[#This Row],[Gross_Profit]]/Table2[[#This Row],[Sales_Amount]]</f>
        <v>-5.042138651825689</v>
      </c>
      <c r="R22" t="str">
        <f>TEXT(Table2[[#This Row],[Sale_Date]],"mmmm")</f>
        <v>April</v>
      </c>
      <c r="S22" s="4">
        <f>YEAR(Table2[[#This Row],[Sale_Date]])</f>
        <v>2023</v>
      </c>
    </row>
    <row r="23" spans="1:19" x14ac:dyDescent="0.35">
      <c r="A23">
        <v>1064</v>
      </c>
      <c r="B23" s="1">
        <v>44930</v>
      </c>
      <c r="C23" t="s">
        <v>38</v>
      </c>
      <c r="D23" t="s">
        <v>34</v>
      </c>
      <c r="E23">
        <v>7412.11</v>
      </c>
      <c r="F23">
        <v>10</v>
      </c>
      <c r="G23" t="s">
        <v>35</v>
      </c>
      <c r="H23">
        <v>4764.96</v>
      </c>
      <c r="I23">
        <v>5074.42</v>
      </c>
      <c r="J23" t="s">
        <v>30</v>
      </c>
      <c r="K23">
        <v>0.12</v>
      </c>
      <c r="L23" t="s">
        <v>18</v>
      </c>
      <c r="M23" t="s">
        <v>19</v>
      </c>
      <c r="N23" t="s">
        <v>48</v>
      </c>
      <c r="O23">
        <f>Table2[[#This Row],[Unit_Cost]]*Table2[[#This Row],[Quantity_Sold]]</f>
        <v>47649.599999999999</v>
      </c>
      <c r="P23">
        <f t="shared" si="0"/>
        <v>-40237.49</v>
      </c>
      <c r="Q23" s="3">
        <f>Table2[[#This Row],[Gross_Profit]]/Table2[[#This Row],[Sales_Amount]]</f>
        <v>-5.4286147938980935</v>
      </c>
      <c r="R23" t="str">
        <f>TEXT(Table2[[#This Row],[Sale_Date]],"mmmm")</f>
        <v>January</v>
      </c>
      <c r="S23" s="4">
        <f>YEAR(Table2[[#This Row],[Sale_Date]])</f>
        <v>2023</v>
      </c>
    </row>
    <row r="24" spans="1:19" x14ac:dyDescent="0.35">
      <c r="A24">
        <v>1060</v>
      </c>
      <c r="B24" s="1">
        <v>45276</v>
      </c>
      <c r="C24" t="s">
        <v>38</v>
      </c>
      <c r="D24" t="s">
        <v>34</v>
      </c>
      <c r="E24">
        <v>3224.71</v>
      </c>
      <c r="F24">
        <v>44</v>
      </c>
      <c r="G24" t="s">
        <v>29</v>
      </c>
      <c r="H24">
        <v>3784.96</v>
      </c>
      <c r="I24">
        <v>4276.99</v>
      </c>
      <c r="J24" t="s">
        <v>30</v>
      </c>
      <c r="K24">
        <v>0.06</v>
      </c>
      <c r="L24" t="s">
        <v>27</v>
      </c>
      <c r="M24" t="s">
        <v>22</v>
      </c>
      <c r="N24" t="s">
        <v>48</v>
      </c>
      <c r="O24">
        <f>Table2[[#This Row],[Unit_Cost]]*Table2[[#This Row],[Quantity_Sold]]</f>
        <v>166538.23999999999</v>
      </c>
      <c r="P24">
        <f t="shared" si="0"/>
        <v>-163313.53</v>
      </c>
      <c r="Q24" s="3">
        <f>Table2[[#This Row],[Gross_Profit]]/Table2[[#This Row],[Sales_Amount]]</f>
        <v>-50.644408334392857</v>
      </c>
      <c r="R24" t="str">
        <f>TEXT(Table2[[#This Row],[Sale_Date]],"mmmm")</f>
        <v>December</v>
      </c>
      <c r="S24" s="4">
        <f>YEAR(Table2[[#This Row],[Sale_Date]])</f>
        <v>2023</v>
      </c>
    </row>
    <row r="25" spans="1:19" x14ac:dyDescent="0.35">
      <c r="A25">
        <v>1021</v>
      </c>
      <c r="B25" s="1">
        <v>45257</v>
      </c>
      <c r="C25" t="s">
        <v>42</v>
      </c>
      <c r="D25" t="s">
        <v>25</v>
      </c>
      <c r="E25">
        <v>6483.84</v>
      </c>
      <c r="F25">
        <v>31</v>
      </c>
      <c r="G25" t="s">
        <v>16</v>
      </c>
      <c r="H25">
        <v>2254.9899999999998</v>
      </c>
      <c r="I25">
        <v>2441.79</v>
      </c>
      <c r="J25" t="s">
        <v>17</v>
      </c>
      <c r="K25">
        <v>0.24</v>
      </c>
      <c r="L25" t="s">
        <v>27</v>
      </c>
      <c r="M25" t="s">
        <v>19</v>
      </c>
      <c r="N25" t="s">
        <v>43</v>
      </c>
      <c r="O25">
        <f>Table2[[#This Row],[Unit_Cost]]*Table2[[#This Row],[Quantity_Sold]]</f>
        <v>69904.689999999988</v>
      </c>
      <c r="P25">
        <f t="shared" si="0"/>
        <v>-63420.849999999991</v>
      </c>
      <c r="Q25" s="3">
        <f>Table2[[#This Row],[Gross_Profit]]/Table2[[#This Row],[Sales_Amount]]</f>
        <v>-9.7813718413779469</v>
      </c>
      <c r="R25" t="str">
        <f>TEXT(Table2[[#This Row],[Sale_Date]],"mmmm")</f>
        <v>November</v>
      </c>
      <c r="S25" s="4">
        <f>YEAR(Table2[[#This Row],[Sale_Date]])</f>
        <v>2023</v>
      </c>
    </row>
    <row r="26" spans="1:19" x14ac:dyDescent="0.35">
      <c r="A26">
        <v>1033</v>
      </c>
      <c r="B26" s="1">
        <v>45244</v>
      </c>
      <c r="C26" t="s">
        <v>24</v>
      </c>
      <c r="D26" t="s">
        <v>25</v>
      </c>
      <c r="E26">
        <v>4011.8</v>
      </c>
      <c r="F26">
        <v>23</v>
      </c>
      <c r="G26" t="s">
        <v>16</v>
      </c>
      <c r="H26">
        <v>2981.5</v>
      </c>
      <c r="I26">
        <v>3360.4</v>
      </c>
      <c r="J26" t="s">
        <v>17</v>
      </c>
      <c r="K26">
        <v>0.22</v>
      </c>
      <c r="L26" t="s">
        <v>27</v>
      </c>
      <c r="M26" t="s">
        <v>22</v>
      </c>
      <c r="N26" t="s">
        <v>28</v>
      </c>
      <c r="O26">
        <f>Table2[[#This Row],[Unit_Cost]]*Table2[[#This Row],[Quantity_Sold]]</f>
        <v>68574.5</v>
      </c>
      <c r="P26">
        <f t="shared" si="0"/>
        <v>-64562.7</v>
      </c>
      <c r="Q26" s="3">
        <f>Table2[[#This Row],[Gross_Profit]]/Table2[[#This Row],[Sales_Amount]]</f>
        <v>-16.09320005982352</v>
      </c>
      <c r="R26" t="str">
        <f>TEXT(Table2[[#This Row],[Sale_Date]],"mmmm")</f>
        <v>November</v>
      </c>
      <c r="S26" s="4">
        <f>YEAR(Table2[[#This Row],[Sale_Date]])</f>
        <v>2023</v>
      </c>
    </row>
    <row r="27" spans="1:19" x14ac:dyDescent="0.35">
      <c r="A27">
        <v>1076</v>
      </c>
      <c r="B27" s="1">
        <v>45276</v>
      </c>
      <c r="C27" t="s">
        <v>38</v>
      </c>
      <c r="D27" t="s">
        <v>34</v>
      </c>
      <c r="E27">
        <v>7160.75</v>
      </c>
      <c r="F27">
        <v>30</v>
      </c>
      <c r="G27" t="s">
        <v>29</v>
      </c>
      <c r="H27">
        <v>3519.63</v>
      </c>
      <c r="I27">
        <v>3774.65</v>
      </c>
      <c r="J27" t="s">
        <v>30</v>
      </c>
      <c r="K27">
        <v>0.2</v>
      </c>
      <c r="L27" t="s">
        <v>31</v>
      </c>
      <c r="M27" t="s">
        <v>22</v>
      </c>
      <c r="N27" t="s">
        <v>48</v>
      </c>
      <c r="O27">
        <f>Table2[[#This Row],[Unit_Cost]]*Table2[[#This Row],[Quantity_Sold]]</f>
        <v>105588.90000000001</v>
      </c>
      <c r="P27">
        <f t="shared" si="0"/>
        <v>-98428.150000000009</v>
      </c>
      <c r="Q27" s="3">
        <f>Table2[[#This Row],[Gross_Profit]]/Table2[[#This Row],[Sales_Amount]]</f>
        <v>-13.745508501204483</v>
      </c>
      <c r="R27" t="str">
        <f>TEXT(Table2[[#This Row],[Sale_Date]],"mmmm")</f>
        <v>December</v>
      </c>
      <c r="S27" s="4">
        <f>YEAR(Table2[[#This Row],[Sale_Date]])</f>
        <v>2023</v>
      </c>
    </row>
    <row r="28" spans="1:19" x14ac:dyDescent="0.35">
      <c r="A28">
        <v>1058</v>
      </c>
      <c r="B28" s="1">
        <v>45021</v>
      </c>
      <c r="C28" t="s">
        <v>42</v>
      </c>
      <c r="D28" t="s">
        <v>15</v>
      </c>
      <c r="E28">
        <v>2072.23</v>
      </c>
      <c r="F28">
        <v>33</v>
      </c>
      <c r="G28" t="s">
        <v>16</v>
      </c>
      <c r="H28">
        <v>1011.65</v>
      </c>
      <c r="I28">
        <v>1084.28</v>
      </c>
      <c r="J28" t="s">
        <v>17</v>
      </c>
      <c r="K28">
        <v>7.0000000000000007E-2</v>
      </c>
      <c r="L28" t="s">
        <v>27</v>
      </c>
      <c r="M28" t="s">
        <v>22</v>
      </c>
      <c r="N28" t="s">
        <v>49</v>
      </c>
      <c r="O28">
        <f>Table2[[#This Row],[Unit_Cost]]*Table2[[#This Row],[Quantity_Sold]]</f>
        <v>33384.449999999997</v>
      </c>
      <c r="P28">
        <f t="shared" si="0"/>
        <v>-31312.219999999998</v>
      </c>
      <c r="Q28" s="3">
        <f>Table2[[#This Row],[Gross_Profit]]/Table2[[#This Row],[Sales_Amount]]</f>
        <v>-15.110397977058529</v>
      </c>
      <c r="R28" t="str">
        <f>TEXT(Table2[[#This Row],[Sale_Date]],"mmmm")</f>
        <v>April</v>
      </c>
      <c r="S28" s="4">
        <f>YEAR(Table2[[#This Row],[Sale_Date]])</f>
        <v>2023</v>
      </c>
    </row>
    <row r="29" spans="1:19" x14ac:dyDescent="0.35">
      <c r="A29">
        <v>1022</v>
      </c>
      <c r="B29" s="1">
        <v>45078</v>
      </c>
      <c r="C29" t="s">
        <v>24</v>
      </c>
      <c r="D29" t="s">
        <v>34</v>
      </c>
      <c r="E29">
        <v>8913.1299999999992</v>
      </c>
      <c r="F29">
        <v>9</v>
      </c>
      <c r="G29" t="s">
        <v>35</v>
      </c>
      <c r="H29">
        <v>2263.65</v>
      </c>
      <c r="I29">
        <v>2558.9499999999998</v>
      </c>
      <c r="J29" t="s">
        <v>30</v>
      </c>
      <c r="K29">
        <v>0.03</v>
      </c>
      <c r="L29" t="s">
        <v>18</v>
      </c>
      <c r="M29" t="s">
        <v>19</v>
      </c>
      <c r="N29" t="s">
        <v>50</v>
      </c>
      <c r="O29">
        <f>Table2[[#This Row],[Unit_Cost]]*Table2[[#This Row],[Quantity_Sold]]</f>
        <v>20372.850000000002</v>
      </c>
      <c r="P29">
        <f t="shared" si="0"/>
        <v>-11459.720000000003</v>
      </c>
      <c r="Q29" s="3">
        <f>Table2[[#This Row],[Gross_Profit]]/Table2[[#This Row],[Sales_Amount]]</f>
        <v>-1.2857122021108189</v>
      </c>
      <c r="R29" t="str">
        <f>TEXT(Table2[[#This Row],[Sale_Date]],"mmmm")</f>
        <v>June</v>
      </c>
      <c r="S29" s="4">
        <f>YEAR(Table2[[#This Row],[Sale_Date]])</f>
        <v>2023</v>
      </c>
    </row>
    <row r="30" spans="1:19" x14ac:dyDescent="0.35">
      <c r="A30">
        <v>1089</v>
      </c>
      <c r="B30" s="1">
        <v>45237</v>
      </c>
      <c r="C30" t="s">
        <v>14</v>
      </c>
      <c r="D30" t="s">
        <v>21</v>
      </c>
      <c r="E30">
        <v>2945.36</v>
      </c>
      <c r="F30">
        <v>47</v>
      </c>
      <c r="G30" t="s">
        <v>16</v>
      </c>
      <c r="H30">
        <v>4157.62</v>
      </c>
      <c r="I30">
        <v>4314.5599999999904</v>
      </c>
      <c r="J30" t="s">
        <v>30</v>
      </c>
      <c r="K30">
        <v>0.17</v>
      </c>
      <c r="L30" t="s">
        <v>27</v>
      </c>
      <c r="M30" t="s">
        <v>22</v>
      </c>
      <c r="N30" t="s">
        <v>23</v>
      </c>
      <c r="O30">
        <f>Table2[[#This Row],[Unit_Cost]]*Table2[[#This Row],[Quantity_Sold]]</f>
        <v>195408.13999999998</v>
      </c>
      <c r="P30">
        <f t="shared" si="0"/>
        <v>-192462.78</v>
      </c>
      <c r="Q30" s="3">
        <f>Table2[[#This Row],[Gross_Profit]]/Table2[[#This Row],[Sales_Amount]]</f>
        <v>-65.344399326398133</v>
      </c>
      <c r="R30" t="str">
        <f>TEXT(Table2[[#This Row],[Sale_Date]],"mmmm")</f>
        <v>November</v>
      </c>
      <c r="S30" s="4">
        <f>YEAR(Table2[[#This Row],[Sale_Date]])</f>
        <v>2023</v>
      </c>
    </row>
    <row r="31" spans="1:19" x14ac:dyDescent="0.35">
      <c r="A31">
        <v>1049</v>
      </c>
      <c r="B31" s="1">
        <v>45063</v>
      </c>
      <c r="C31" t="s">
        <v>42</v>
      </c>
      <c r="D31" t="s">
        <v>21</v>
      </c>
      <c r="E31">
        <v>3741.08</v>
      </c>
      <c r="F31">
        <v>1</v>
      </c>
      <c r="G31" t="s">
        <v>16</v>
      </c>
      <c r="H31">
        <v>3290.89</v>
      </c>
      <c r="I31">
        <v>3317.75</v>
      </c>
      <c r="J31" t="s">
        <v>17</v>
      </c>
      <c r="K31">
        <v>0.17</v>
      </c>
      <c r="L31" t="s">
        <v>27</v>
      </c>
      <c r="M31" t="s">
        <v>19</v>
      </c>
      <c r="N31" t="s">
        <v>51</v>
      </c>
      <c r="O31">
        <f>Table2[[#This Row],[Unit_Cost]]*Table2[[#This Row],[Quantity_Sold]]</f>
        <v>3290.89</v>
      </c>
      <c r="P31">
        <f t="shared" si="0"/>
        <v>450.19000000000005</v>
      </c>
      <c r="Q31" s="3">
        <f>Table2[[#This Row],[Gross_Profit]]/Table2[[#This Row],[Sales_Amount]]</f>
        <v>0.12033690805863549</v>
      </c>
      <c r="R31" t="str">
        <f>TEXT(Table2[[#This Row],[Sale_Date]],"mmmm")</f>
        <v>May</v>
      </c>
      <c r="S31" s="4">
        <f>YEAR(Table2[[#This Row],[Sale_Date]])</f>
        <v>2023</v>
      </c>
    </row>
    <row r="32" spans="1:19" x14ac:dyDescent="0.35">
      <c r="A32">
        <v>1091</v>
      </c>
      <c r="B32" s="1">
        <v>45173</v>
      </c>
      <c r="C32" t="s">
        <v>33</v>
      </c>
      <c r="D32" t="s">
        <v>25</v>
      </c>
      <c r="E32">
        <v>675.11</v>
      </c>
      <c r="F32">
        <v>44</v>
      </c>
      <c r="G32" t="s">
        <v>26</v>
      </c>
      <c r="H32">
        <v>2085.46</v>
      </c>
      <c r="I32">
        <v>2406.58</v>
      </c>
      <c r="J32" t="s">
        <v>17</v>
      </c>
      <c r="K32">
        <v>0.06</v>
      </c>
      <c r="L32" t="s">
        <v>27</v>
      </c>
      <c r="M32" t="s">
        <v>22</v>
      </c>
      <c r="N32" t="s">
        <v>44</v>
      </c>
      <c r="O32">
        <f>Table2[[#This Row],[Unit_Cost]]*Table2[[#This Row],[Quantity_Sold]]</f>
        <v>91760.24</v>
      </c>
      <c r="P32">
        <f t="shared" si="0"/>
        <v>-91085.13</v>
      </c>
      <c r="Q32" s="3">
        <f>Table2[[#This Row],[Gross_Profit]]/Table2[[#This Row],[Sales_Amount]]</f>
        <v>-134.91894654204501</v>
      </c>
      <c r="R32" t="str">
        <f>TEXT(Table2[[#This Row],[Sale_Date]],"mmmm")</f>
        <v>September</v>
      </c>
      <c r="S32" s="4">
        <f>YEAR(Table2[[#This Row],[Sale_Date]])</f>
        <v>2023</v>
      </c>
    </row>
    <row r="33" spans="1:19" x14ac:dyDescent="0.35">
      <c r="A33">
        <v>1059</v>
      </c>
      <c r="B33" s="1">
        <v>45169</v>
      </c>
      <c r="C33" t="s">
        <v>42</v>
      </c>
      <c r="D33" t="s">
        <v>15</v>
      </c>
      <c r="E33">
        <v>1203.97</v>
      </c>
      <c r="F33">
        <v>35</v>
      </c>
      <c r="G33" t="s">
        <v>26</v>
      </c>
      <c r="H33">
        <v>3333.64</v>
      </c>
      <c r="I33">
        <v>3764.52</v>
      </c>
      <c r="J33" t="s">
        <v>17</v>
      </c>
      <c r="K33">
        <v>0.02</v>
      </c>
      <c r="L33" t="s">
        <v>31</v>
      </c>
      <c r="M33" t="s">
        <v>19</v>
      </c>
      <c r="N33" t="s">
        <v>49</v>
      </c>
      <c r="O33">
        <f>Table2[[#This Row],[Unit_Cost]]*Table2[[#This Row],[Quantity_Sold]]</f>
        <v>116677.4</v>
      </c>
      <c r="P33">
        <f t="shared" si="0"/>
        <v>-115473.43</v>
      </c>
      <c r="Q33" s="3">
        <f>Table2[[#This Row],[Gross_Profit]]/Table2[[#This Row],[Sales_Amount]]</f>
        <v>-95.910554249690605</v>
      </c>
      <c r="R33" t="str">
        <f>TEXT(Table2[[#This Row],[Sale_Date]],"mmmm")</f>
        <v>August</v>
      </c>
      <c r="S33" s="4">
        <f>YEAR(Table2[[#This Row],[Sale_Date]])</f>
        <v>2023</v>
      </c>
    </row>
    <row r="34" spans="1:19" x14ac:dyDescent="0.35">
      <c r="A34">
        <v>1042</v>
      </c>
      <c r="B34" s="1">
        <v>44957</v>
      </c>
      <c r="C34" t="s">
        <v>42</v>
      </c>
      <c r="D34" t="s">
        <v>15</v>
      </c>
      <c r="E34">
        <v>5207.03</v>
      </c>
      <c r="F34">
        <v>11</v>
      </c>
      <c r="G34" t="s">
        <v>26</v>
      </c>
      <c r="H34">
        <v>635.20000000000005</v>
      </c>
      <c r="I34">
        <v>814.14</v>
      </c>
      <c r="J34" t="s">
        <v>17</v>
      </c>
      <c r="K34">
        <v>0.02</v>
      </c>
      <c r="L34" t="s">
        <v>18</v>
      </c>
      <c r="M34" t="s">
        <v>19</v>
      </c>
      <c r="N34" t="s">
        <v>49</v>
      </c>
      <c r="O34">
        <f>Table2[[#This Row],[Unit_Cost]]*Table2[[#This Row],[Quantity_Sold]]</f>
        <v>6987.2000000000007</v>
      </c>
      <c r="P34">
        <f t="shared" si="0"/>
        <v>-1780.170000000001</v>
      </c>
      <c r="Q34" s="3">
        <f>Table2[[#This Row],[Gross_Profit]]/Table2[[#This Row],[Sales_Amount]]</f>
        <v>-0.34187819159866584</v>
      </c>
      <c r="R34" t="str">
        <f>TEXT(Table2[[#This Row],[Sale_Date]],"mmmm")</f>
        <v>January</v>
      </c>
      <c r="S34" s="4">
        <f>YEAR(Table2[[#This Row],[Sale_Date]])</f>
        <v>2023</v>
      </c>
    </row>
    <row r="35" spans="1:19" x14ac:dyDescent="0.35">
      <c r="A35">
        <v>1092</v>
      </c>
      <c r="B35" s="1">
        <v>44966</v>
      </c>
      <c r="C35" t="s">
        <v>24</v>
      </c>
      <c r="D35" t="s">
        <v>21</v>
      </c>
      <c r="E35">
        <v>2749.17</v>
      </c>
      <c r="F35">
        <v>34</v>
      </c>
      <c r="G35" t="s">
        <v>16</v>
      </c>
      <c r="H35">
        <v>2037.41</v>
      </c>
      <c r="I35">
        <v>2238.65</v>
      </c>
      <c r="J35" t="s">
        <v>30</v>
      </c>
      <c r="K35">
        <v>0.3</v>
      </c>
      <c r="L35" t="s">
        <v>31</v>
      </c>
      <c r="M35" t="s">
        <v>19</v>
      </c>
      <c r="N35" t="s">
        <v>47</v>
      </c>
      <c r="O35">
        <f>Table2[[#This Row],[Unit_Cost]]*Table2[[#This Row],[Quantity_Sold]]</f>
        <v>69271.94</v>
      </c>
      <c r="P35">
        <f t="shared" si="0"/>
        <v>-66522.77</v>
      </c>
      <c r="Q35" s="3">
        <f>Table2[[#This Row],[Gross_Profit]]/Table2[[#This Row],[Sales_Amount]]</f>
        <v>-24.197401397512703</v>
      </c>
      <c r="R35" t="str">
        <f>TEXT(Table2[[#This Row],[Sale_Date]],"mmmm")</f>
        <v>February</v>
      </c>
      <c r="S35" s="4">
        <f>YEAR(Table2[[#This Row],[Sale_Date]])</f>
        <v>2023</v>
      </c>
    </row>
    <row r="36" spans="1:19" x14ac:dyDescent="0.35">
      <c r="A36">
        <v>1060</v>
      </c>
      <c r="B36" s="1">
        <v>45155</v>
      </c>
      <c r="C36" t="s">
        <v>14</v>
      </c>
      <c r="D36" t="s">
        <v>34</v>
      </c>
      <c r="E36">
        <v>8371.25</v>
      </c>
      <c r="F36">
        <v>16</v>
      </c>
      <c r="G36" t="s">
        <v>29</v>
      </c>
      <c r="H36">
        <v>3975.99</v>
      </c>
      <c r="I36">
        <v>4422.59</v>
      </c>
      <c r="J36" t="s">
        <v>30</v>
      </c>
      <c r="K36">
        <v>0.24</v>
      </c>
      <c r="L36" t="s">
        <v>18</v>
      </c>
      <c r="M36" t="s">
        <v>19</v>
      </c>
      <c r="N36" t="s">
        <v>46</v>
      </c>
      <c r="O36">
        <f>Table2[[#This Row],[Unit_Cost]]*Table2[[#This Row],[Quantity_Sold]]</f>
        <v>63615.839999999997</v>
      </c>
      <c r="P36">
        <f t="shared" si="0"/>
        <v>-55244.59</v>
      </c>
      <c r="Q36" s="3">
        <f>Table2[[#This Row],[Gross_Profit]]/Table2[[#This Row],[Sales_Amount]]</f>
        <v>-6.5993238763625497</v>
      </c>
      <c r="R36" t="str">
        <f>TEXT(Table2[[#This Row],[Sale_Date]],"mmmm")</f>
        <v>August</v>
      </c>
      <c r="S36" s="4">
        <f>YEAR(Table2[[#This Row],[Sale_Date]])</f>
        <v>2023</v>
      </c>
    </row>
    <row r="37" spans="1:19" x14ac:dyDescent="0.35">
      <c r="A37">
        <v>1080</v>
      </c>
      <c r="B37" s="1">
        <v>44962</v>
      </c>
      <c r="C37" t="s">
        <v>33</v>
      </c>
      <c r="D37" t="s">
        <v>25</v>
      </c>
      <c r="E37">
        <v>245.46</v>
      </c>
      <c r="F37">
        <v>9</v>
      </c>
      <c r="G37" t="s">
        <v>35</v>
      </c>
      <c r="H37">
        <v>1141.52</v>
      </c>
      <c r="I37">
        <v>1550.19</v>
      </c>
      <c r="J37" t="s">
        <v>30</v>
      </c>
      <c r="K37">
        <v>0.28000000000000003</v>
      </c>
      <c r="L37" t="s">
        <v>31</v>
      </c>
      <c r="M37" t="s">
        <v>22</v>
      </c>
      <c r="N37" t="s">
        <v>44</v>
      </c>
      <c r="O37">
        <f>Table2[[#This Row],[Unit_Cost]]*Table2[[#This Row],[Quantity_Sold]]</f>
        <v>10273.68</v>
      </c>
      <c r="P37">
        <f t="shared" si="0"/>
        <v>-10028.220000000001</v>
      </c>
      <c r="Q37" s="3">
        <f>Table2[[#This Row],[Gross_Profit]]/Table2[[#This Row],[Sales_Amount]]</f>
        <v>-40.854803226594967</v>
      </c>
      <c r="R37" t="str">
        <f>TEXT(Table2[[#This Row],[Sale_Date]],"mmmm")</f>
        <v>February</v>
      </c>
      <c r="S37" s="4">
        <f>YEAR(Table2[[#This Row],[Sale_Date]])</f>
        <v>2023</v>
      </c>
    </row>
    <row r="38" spans="1:19" x14ac:dyDescent="0.35">
      <c r="A38">
        <v>1015</v>
      </c>
      <c r="B38" s="1">
        <v>45149</v>
      </c>
      <c r="C38" t="s">
        <v>38</v>
      </c>
      <c r="D38" t="s">
        <v>34</v>
      </c>
      <c r="E38">
        <v>3853.03</v>
      </c>
      <c r="F38">
        <v>32</v>
      </c>
      <c r="G38" t="s">
        <v>16</v>
      </c>
      <c r="H38">
        <v>970.51</v>
      </c>
      <c r="I38">
        <v>1330.84</v>
      </c>
      <c r="J38" t="s">
        <v>17</v>
      </c>
      <c r="K38">
        <v>0.06</v>
      </c>
      <c r="L38" t="s">
        <v>18</v>
      </c>
      <c r="M38" t="s">
        <v>22</v>
      </c>
      <c r="N38" t="s">
        <v>48</v>
      </c>
      <c r="O38">
        <f>Table2[[#This Row],[Unit_Cost]]*Table2[[#This Row],[Quantity_Sold]]</f>
        <v>31056.32</v>
      </c>
      <c r="P38">
        <f t="shared" si="0"/>
        <v>-27203.29</v>
      </c>
      <c r="Q38" s="3">
        <f>Table2[[#This Row],[Gross_Profit]]/Table2[[#This Row],[Sales_Amount]]</f>
        <v>-7.0602331152365796</v>
      </c>
      <c r="R38" t="str">
        <f>TEXT(Table2[[#This Row],[Sale_Date]],"mmmm")</f>
        <v>August</v>
      </c>
      <c r="S38" s="4">
        <f>YEAR(Table2[[#This Row],[Sale_Date]])</f>
        <v>2023</v>
      </c>
    </row>
    <row r="39" spans="1:19" x14ac:dyDescent="0.35">
      <c r="A39">
        <v>1062</v>
      </c>
      <c r="B39" s="1">
        <v>44932</v>
      </c>
      <c r="C39" t="s">
        <v>38</v>
      </c>
      <c r="D39" t="s">
        <v>34</v>
      </c>
      <c r="E39">
        <v>3439.72</v>
      </c>
      <c r="F39">
        <v>15</v>
      </c>
      <c r="G39" t="s">
        <v>29</v>
      </c>
      <c r="H39">
        <v>4756.55</v>
      </c>
      <c r="I39">
        <v>4888.46</v>
      </c>
      <c r="J39" t="s">
        <v>30</v>
      </c>
      <c r="K39">
        <v>0.28999999999999998</v>
      </c>
      <c r="L39" t="s">
        <v>31</v>
      </c>
      <c r="M39" t="s">
        <v>19</v>
      </c>
      <c r="N39" t="s">
        <v>48</v>
      </c>
      <c r="O39">
        <f>Table2[[#This Row],[Unit_Cost]]*Table2[[#This Row],[Quantity_Sold]]</f>
        <v>71348.25</v>
      </c>
      <c r="P39">
        <f t="shared" si="0"/>
        <v>-67908.53</v>
      </c>
      <c r="Q39" s="3">
        <f>Table2[[#This Row],[Gross_Profit]]/Table2[[#This Row],[Sales_Amount]]</f>
        <v>-19.742458688497901</v>
      </c>
      <c r="R39" t="str">
        <f>TEXT(Table2[[#This Row],[Sale_Date]],"mmmm")</f>
        <v>January</v>
      </c>
      <c r="S39" s="4">
        <f>YEAR(Table2[[#This Row],[Sale_Date]])</f>
        <v>2023</v>
      </c>
    </row>
    <row r="40" spans="1:19" x14ac:dyDescent="0.35">
      <c r="A40">
        <v>1062</v>
      </c>
      <c r="B40" s="1">
        <v>45248</v>
      </c>
      <c r="C40" t="s">
        <v>42</v>
      </c>
      <c r="D40" t="s">
        <v>34</v>
      </c>
      <c r="E40">
        <v>291.33999999999997</v>
      </c>
      <c r="F40">
        <v>12</v>
      </c>
      <c r="G40" t="s">
        <v>16</v>
      </c>
      <c r="H40">
        <v>1088.99</v>
      </c>
      <c r="I40">
        <v>1545</v>
      </c>
      <c r="J40" t="s">
        <v>17</v>
      </c>
      <c r="K40">
        <v>0.04</v>
      </c>
      <c r="L40" t="s">
        <v>27</v>
      </c>
      <c r="M40" t="s">
        <v>22</v>
      </c>
      <c r="N40" t="s">
        <v>52</v>
      </c>
      <c r="O40">
        <f>Table2[[#This Row],[Unit_Cost]]*Table2[[#This Row],[Quantity_Sold]]</f>
        <v>13067.880000000001</v>
      </c>
      <c r="P40">
        <f t="shared" si="0"/>
        <v>-12776.54</v>
      </c>
      <c r="Q40" s="3">
        <f>Table2[[#This Row],[Gross_Profit]]/Table2[[#This Row],[Sales_Amount]]</f>
        <v>-43.854396924555509</v>
      </c>
      <c r="R40" t="str">
        <f>TEXT(Table2[[#This Row],[Sale_Date]],"mmmm")</f>
        <v>November</v>
      </c>
      <c r="S40" s="4">
        <f>YEAR(Table2[[#This Row],[Sale_Date]])</f>
        <v>2023</v>
      </c>
    </row>
    <row r="41" spans="1:19" x14ac:dyDescent="0.35">
      <c r="A41">
        <v>1047</v>
      </c>
      <c r="B41" s="1">
        <v>45146</v>
      </c>
      <c r="C41" t="s">
        <v>24</v>
      </c>
      <c r="D41" t="s">
        <v>15</v>
      </c>
      <c r="E41">
        <v>1331.25</v>
      </c>
      <c r="F41">
        <v>33</v>
      </c>
      <c r="G41" t="s">
        <v>35</v>
      </c>
      <c r="H41">
        <v>1341.55</v>
      </c>
      <c r="I41">
        <v>1427.21</v>
      </c>
      <c r="J41" t="s">
        <v>17</v>
      </c>
      <c r="K41">
        <v>0.15</v>
      </c>
      <c r="L41" t="s">
        <v>31</v>
      </c>
      <c r="M41" t="s">
        <v>19</v>
      </c>
      <c r="N41" t="s">
        <v>45</v>
      </c>
      <c r="O41">
        <f>Table2[[#This Row],[Unit_Cost]]*Table2[[#This Row],[Quantity_Sold]]</f>
        <v>44271.15</v>
      </c>
      <c r="P41">
        <f t="shared" si="0"/>
        <v>-42939.9</v>
      </c>
      <c r="Q41" s="3">
        <f>Table2[[#This Row],[Gross_Profit]]/Table2[[#This Row],[Sales_Amount]]</f>
        <v>-32.255323943661971</v>
      </c>
      <c r="R41" t="str">
        <f>TEXT(Table2[[#This Row],[Sale_Date]],"mmmm")</f>
        <v>August</v>
      </c>
      <c r="S41" s="4">
        <f>YEAR(Table2[[#This Row],[Sale_Date]])</f>
        <v>2023</v>
      </c>
    </row>
    <row r="42" spans="1:19" x14ac:dyDescent="0.35">
      <c r="A42">
        <v>1062</v>
      </c>
      <c r="B42" s="1">
        <v>45001</v>
      </c>
      <c r="C42" t="s">
        <v>24</v>
      </c>
      <c r="D42" t="s">
        <v>21</v>
      </c>
      <c r="E42">
        <v>4195.0600000000004</v>
      </c>
      <c r="F42">
        <v>45</v>
      </c>
      <c r="G42" t="s">
        <v>16</v>
      </c>
      <c r="H42">
        <v>4849.6000000000004</v>
      </c>
      <c r="I42">
        <v>5166.72</v>
      </c>
      <c r="J42" t="s">
        <v>17</v>
      </c>
      <c r="K42">
        <v>0.25</v>
      </c>
      <c r="L42" t="s">
        <v>31</v>
      </c>
      <c r="M42" t="s">
        <v>19</v>
      </c>
      <c r="N42" t="s">
        <v>47</v>
      </c>
      <c r="O42">
        <f>Table2[[#This Row],[Unit_Cost]]*Table2[[#This Row],[Quantity_Sold]]</f>
        <v>218232.00000000003</v>
      </c>
      <c r="P42">
        <f t="shared" si="0"/>
        <v>-214036.94000000003</v>
      </c>
      <c r="Q42" s="3">
        <f>Table2[[#This Row],[Gross_Profit]]/Table2[[#This Row],[Sales_Amount]]</f>
        <v>-51.021186824503111</v>
      </c>
      <c r="R42" t="str">
        <f>TEXT(Table2[[#This Row],[Sale_Date]],"mmmm")</f>
        <v>March</v>
      </c>
      <c r="S42" s="4">
        <f>YEAR(Table2[[#This Row],[Sale_Date]])</f>
        <v>2023</v>
      </c>
    </row>
    <row r="43" spans="1:19" x14ac:dyDescent="0.35">
      <c r="A43">
        <v>1051</v>
      </c>
      <c r="B43" s="1">
        <v>44930</v>
      </c>
      <c r="C43" t="s">
        <v>38</v>
      </c>
      <c r="D43" t="s">
        <v>15</v>
      </c>
      <c r="E43">
        <v>4979.3599999999997</v>
      </c>
      <c r="F43">
        <v>14</v>
      </c>
      <c r="G43" t="s">
        <v>35</v>
      </c>
      <c r="H43">
        <v>3686.81</v>
      </c>
      <c r="I43">
        <v>3710.92</v>
      </c>
      <c r="J43" t="s">
        <v>30</v>
      </c>
      <c r="K43">
        <v>0.1</v>
      </c>
      <c r="L43" t="s">
        <v>27</v>
      </c>
      <c r="M43" t="s">
        <v>22</v>
      </c>
      <c r="N43" t="s">
        <v>40</v>
      </c>
      <c r="O43">
        <f>Table2[[#This Row],[Unit_Cost]]*Table2[[#This Row],[Quantity_Sold]]</f>
        <v>51615.34</v>
      </c>
      <c r="P43">
        <f t="shared" si="0"/>
        <v>-46635.979999999996</v>
      </c>
      <c r="Q43" s="3">
        <f>Table2[[#This Row],[Gross_Profit]]/Table2[[#This Row],[Sales_Amount]]</f>
        <v>-9.3658582629092901</v>
      </c>
      <c r="R43" t="str">
        <f>TEXT(Table2[[#This Row],[Sale_Date]],"mmmm")</f>
        <v>January</v>
      </c>
      <c r="S43" s="4">
        <f>YEAR(Table2[[#This Row],[Sale_Date]])</f>
        <v>2023</v>
      </c>
    </row>
    <row r="44" spans="1:19" x14ac:dyDescent="0.35">
      <c r="A44">
        <v>1055</v>
      </c>
      <c r="B44" s="1">
        <v>45261</v>
      </c>
      <c r="C44" t="s">
        <v>33</v>
      </c>
      <c r="D44" t="s">
        <v>21</v>
      </c>
      <c r="E44">
        <v>4102.47</v>
      </c>
      <c r="F44">
        <v>8</v>
      </c>
      <c r="G44" t="s">
        <v>16</v>
      </c>
      <c r="H44">
        <v>3513</v>
      </c>
      <c r="I44">
        <v>3838.42</v>
      </c>
      <c r="J44" t="s">
        <v>17</v>
      </c>
      <c r="K44">
        <v>0.13</v>
      </c>
      <c r="L44" t="s">
        <v>27</v>
      </c>
      <c r="M44" t="s">
        <v>19</v>
      </c>
      <c r="N44" t="s">
        <v>37</v>
      </c>
      <c r="O44">
        <f>Table2[[#This Row],[Unit_Cost]]*Table2[[#This Row],[Quantity_Sold]]</f>
        <v>28104</v>
      </c>
      <c r="P44">
        <f t="shared" si="0"/>
        <v>-24001.53</v>
      </c>
      <c r="Q44" s="3">
        <f>Table2[[#This Row],[Gross_Profit]]/Table2[[#This Row],[Sales_Amount]]</f>
        <v>-5.8505071335073744</v>
      </c>
      <c r="R44" t="str">
        <f>TEXT(Table2[[#This Row],[Sale_Date]],"mmmm")</f>
        <v>December</v>
      </c>
      <c r="S44" s="4">
        <f>YEAR(Table2[[#This Row],[Sale_Date]])</f>
        <v>2023</v>
      </c>
    </row>
    <row r="45" spans="1:19" x14ac:dyDescent="0.35">
      <c r="A45">
        <v>1064</v>
      </c>
      <c r="B45" s="1">
        <v>45060</v>
      </c>
      <c r="C45" t="s">
        <v>14</v>
      </c>
      <c r="D45" t="s">
        <v>25</v>
      </c>
      <c r="E45">
        <v>5356.28</v>
      </c>
      <c r="F45">
        <v>8</v>
      </c>
      <c r="G45" t="s">
        <v>35</v>
      </c>
      <c r="H45">
        <v>4271.99</v>
      </c>
      <c r="I45">
        <v>4417.79</v>
      </c>
      <c r="J45" t="s">
        <v>17</v>
      </c>
      <c r="K45">
        <v>0.04</v>
      </c>
      <c r="L45" t="s">
        <v>18</v>
      </c>
      <c r="M45" t="s">
        <v>19</v>
      </c>
      <c r="N45" t="s">
        <v>32</v>
      </c>
      <c r="O45">
        <f>Table2[[#This Row],[Unit_Cost]]*Table2[[#This Row],[Quantity_Sold]]</f>
        <v>34175.919999999998</v>
      </c>
      <c r="P45">
        <f t="shared" si="0"/>
        <v>-28819.64</v>
      </c>
      <c r="Q45" s="3">
        <f>Table2[[#This Row],[Gross_Profit]]/Table2[[#This Row],[Sales_Amount]]</f>
        <v>-5.380532757809525</v>
      </c>
      <c r="R45" t="str">
        <f>TEXT(Table2[[#This Row],[Sale_Date]],"mmmm")</f>
        <v>May</v>
      </c>
      <c r="S45" s="4">
        <f>YEAR(Table2[[#This Row],[Sale_Date]])</f>
        <v>2023</v>
      </c>
    </row>
    <row r="46" spans="1:19" x14ac:dyDescent="0.35">
      <c r="A46">
        <v>1003</v>
      </c>
      <c r="B46" s="1">
        <v>45044</v>
      </c>
      <c r="C46" t="s">
        <v>33</v>
      </c>
      <c r="D46" t="s">
        <v>25</v>
      </c>
      <c r="E46">
        <v>5991.8</v>
      </c>
      <c r="F46">
        <v>27</v>
      </c>
      <c r="G46" t="s">
        <v>16</v>
      </c>
      <c r="H46">
        <v>623.32000000000005</v>
      </c>
      <c r="I46">
        <v>853.66</v>
      </c>
      <c r="J46" t="s">
        <v>17</v>
      </c>
      <c r="K46">
        <v>0.04</v>
      </c>
      <c r="L46" t="s">
        <v>18</v>
      </c>
      <c r="M46" t="s">
        <v>19</v>
      </c>
      <c r="N46" t="s">
        <v>44</v>
      </c>
      <c r="O46">
        <f>Table2[[#This Row],[Unit_Cost]]*Table2[[#This Row],[Quantity_Sold]]</f>
        <v>16829.640000000003</v>
      </c>
      <c r="P46">
        <f t="shared" si="0"/>
        <v>-10837.840000000004</v>
      </c>
      <c r="Q46" s="3">
        <f>Table2[[#This Row],[Gross_Profit]]/Table2[[#This Row],[Sales_Amount]]</f>
        <v>-1.8087786641743722</v>
      </c>
      <c r="R46" t="str">
        <f>TEXT(Table2[[#This Row],[Sale_Date]],"mmmm")</f>
        <v>April</v>
      </c>
      <c r="S46" s="4">
        <f>YEAR(Table2[[#This Row],[Sale_Date]])</f>
        <v>2023</v>
      </c>
    </row>
    <row r="47" spans="1:19" x14ac:dyDescent="0.35">
      <c r="A47">
        <v>1051</v>
      </c>
      <c r="B47" s="1">
        <v>45020</v>
      </c>
      <c r="C47" t="s">
        <v>14</v>
      </c>
      <c r="D47" t="s">
        <v>34</v>
      </c>
      <c r="E47">
        <v>198.25</v>
      </c>
      <c r="F47">
        <v>12</v>
      </c>
      <c r="G47" t="s">
        <v>35</v>
      </c>
      <c r="H47">
        <v>3544.48</v>
      </c>
      <c r="I47">
        <v>3723.66</v>
      </c>
      <c r="J47" t="s">
        <v>17</v>
      </c>
      <c r="K47">
        <v>0.19</v>
      </c>
      <c r="L47" t="s">
        <v>18</v>
      </c>
      <c r="M47" t="s">
        <v>19</v>
      </c>
      <c r="N47" t="s">
        <v>46</v>
      </c>
      <c r="O47">
        <f>Table2[[#This Row],[Unit_Cost]]*Table2[[#This Row],[Quantity_Sold]]</f>
        <v>42533.760000000002</v>
      </c>
      <c r="P47">
        <f t="shared" si="0"/>
        <v>-42335.51</v>
      </c>
      <c r="Q47" s="3">
        <f>Table2[[#This Row],[Gross_Profit]]/Table2[[#This Row],[Sales_Amount]]</f>
        <v>-213.54607818411097</v>
      </c>
      <c r="R47" t="str">
        <f>TEXT(Table2[[#This Row],[Sale_Date]],"mmmm")</f>
        <v>April</v>
      </c>
      <c r="S47" s="4">
        <f>YEAR(Table2[[#This Row],[Sale_Date]])</f>
        <v>2023</v>
      </c>
    </row>
    <row r="48" spans="1:19" x14ac:dyDescent="0.35">
      <c r="A48">
        <v>1007</v>
      </c>
      <c r="B48" s="1">
        <v>44988</v>
      </c>
      <c r="C48" t="s">
        <v>38</v>
      </c>
      <c r="D48" t="s">
        <v>21</v>
      </c>
      <c r="E48">
        <v>4694.54</v>
      </c>
      <c r="F48">
        <v>1</v>
      </c>
      <c r="G48" t="s">
        <v>26</v>
      </c>
      <c r="H48">
        <v>2543.2600000000002</v>
      </c>
      <c r="I48">
        <v>2637.91</v>
      </c>
      <c r="J48" t="s">
        <v>17</v>
      </c>
      <c r="K48">
        <v>0.2</v>
      </c>
      <c r="L48" t="s">
        <v>31</v>
      </c>
      <c r="M48" t="s">
        <v>19</v>
      </c>
      <c r="N48" t="s">
        <v>41</v>
      </c>
      <c r="O48">
        <f>Table2[[#This Row],[Unit_Cost]]*Table2[[#This Row],[Quantity_Sold]]</f>
        <v>2543.2600000000002</v>
      </c>
      <c r="P48">
        <f t="shared" si="0"/>
        <v>2151.2799999999997</v>
      </c>
      <c r="Q48" s="3">
        <f>Table2[[#This Row],[Gross_Profit]]/Table2[[#This Row],[Sales_Amount]]</f>
        <v>0.45825150067951276</v>
      </c>
      <c r="R48" t="str">
        <f>TEXT(Table2[[#This Row],[Sale_Date]],"mmmm")</f>
        <v>March</v>
      </c>
      <c r="S48" s="4">
        <f>YEAR(Table2[[#This Row],[Sale_Date]])</f>
        <v>2023</v>
      </c>
    </row>
    <row r="49" spans="1:19" x14ac:dyDescent="0.35">
      <c r="A49">
        <v>1021</v>
      </c>
      <c r="B49" s="1">
        <v>45120</v>
      </c>
      <c r="C49" t="s">
        <v>14</v>
      </c>
      <c r="D49" t="s">
        <v>21</v>
      </c>
      <c r="E49">
        <v>9638.64</v>
      </c>
      <c r="F49">
        <v>43</v>
      </c>
      <c r="G49" t="s">
        <v>16</v>
      </c>
      <c r="H49">
        <v>4154.3</v>
      </c>
      <c r="I49">
        <v>4469.07</v>
      </c>
      <c r="J49" t="s">
        <v>17</v>
      </c>
      <c r="K49">
        <v>0.23</v>
      </c>
      <c r="L49" t="s">
        <v>18</v>
      </c>
      <c r="M49" t="s">
        <v>22</v>
      </c>
      <c r="N49" t="s">
        <v>23</v>
      </c>
      <c r="O49">
        <f>Table2[[#This Row],[Unit_Cost]]*Table2[[#This Row],[Quantity_Sold]]</f>
        <v>178634.9</v>
      </c>
      <c r="P49">
        <f t="shared" si="0"/>
        <v>-168996.26</v>
      </c>
      <c r="Q49" s="3">
        <f>Table2[[#This Row],[Gross_Profit]]/Table2[[#This Row],[Sales_Amount]]</f>
        <v>-17.533205929467229</v>
      </c>
      <c r="R49" t="str">
        <f>TEXT(Table2[[#This Row],[Sale_Date]],"mmmm")</f>
        <v>July</v>
      </c>
      <c r="S49" s="4">
        <f>YEAR(Table2[[#This Row],[Sale_Date]])</f>
        <v>2023</v>
      </c>
    </row>
    <row r="50" spans="1:19" x14ac:dyDescent="0.35">
      <c r="A50">
        <v>1073</v>
      </c>
      <c r="B50" s="1">
        <v>45261</v>
      </c>
      <c r="C50" t="s">
        <v>24</v>
      </c>
      <c r="D50" t="s">
        <v>21</v>
      </c>
      <c r="E50">
        <v>5238.42</v>
      </c>
      <c r="F50">
        <v>40</v>
      </c>
      <c r="G50" t="s">
        <v>16</v>
      </c>
      <c r="H50">
        <v>2565.3000000000002</v>
      </c>
      <c r="I50">
        <v>3007.47</v>
      </c>
      <c r="J50" t="s">
        <v>17</v>
      </c>
      <c r="K50">
        <v>0.17</v>
      </c>
      <c r="L50" t="s">
        <v>31</v>
      </c>
      <c r="M50" t="s">
        <v>22</v>
      </c>
      <c r="N50" t="s">
        <v>47</v>
      </c>
      <c r="O50">
        <f>Table2[[#This Row],[Unit_Cost]]*Table2[[#This Row],[Quantity_Sold]]</f>
        <v>102612</v>
      </c>
      <c r="P50">
        <f t="shared" si="0"/>
        <v>-97373.58</v>
      </c>
      <c r="Q50" s="3">
        <f>Table2[[#This Row],[Gross_Profit]]/Table2[[#This Row],[Sales_Amount]]</f>
        <v>-18.588349158715797</v>
      </c>
      <c r="R50" t="str">
        <f>TEXT(Table2[[#This Row],[Sale_Date]],"mmmm")</f>
        <v>December</v>
      </c>
      <c r="S50" s="4">
        <f>YEAR(Table2[[#This Row],[Sale_Date]])</f>
        <v>2023</v>
      </c>
    </row>
    <row r="51" spans="1:19" x14ac:dyDescent="0.35">
      <c r="A51">
        <v>1039</v>
      </c>
      <c r="B51" s="1">
        <v>45129</v>
      </c>
      <c r="C51" t="s">
        <v>42</v>
      </c>
      <c r="D51" t="s">
        <v>34</v>
      </c>
      <c r="E51">
        <v>6807.67</v>
      </c>
      <c r="F51">
        <v>42</v>
      </c>
      <c r="G51" t="s">
        <v>29</v>
      </c>
      <c r="H51">
        <v>3120.19</v>
      </c>
      <c r="I51">
        <v>3600.14</v>
      </c>
      <c r="J51" t="s">
        <v>17</v>
      </c>
      <c r="K51">
        <v>0.19</v>
      </c>
      <c r="L51" t="s">
        <v>31</v>
      </c>
      <c r="M51" t="s">
        <v>22</v>
      </c>
      <c r="N51" t="s">
        <v>52</v>
      </c>
      <c r="O51">
        <f>Table2[[#This Row],[Unit_Cost]]*Table2[[#This Row],[Quantity_Sold]]</f>
        <v>131047.98</v>
      </c>
      <c r="P51">
        <f t="shared" si="0"/>
        <v>-124240.31</v>
      </c>
      <c r="Q51" s="3">
        <f>Table2[[#This Row],[Gross_Profit]]/Table2[[#This Row],[Sales_Amount]]</f>
        <v>-18.250048841967956</v>
      </c>
      <c r="R51" t="str">
        <f>TEXT(Table2[[#This Row],[Sale_Date]],"mmmm")</f>
        <v>July</v>
      </c>
      <c r="S51" s="4">
        <f>YEAR(Table2[[#This Row],[Sale_Date]])</f>
        <v>2023</v>
      </c>
    </row>
    <row r="52" spans="1:19" x14ac:dyDescent="0.35">
      <c r="A52">
        <v>1018</v>
      </c>
      <c r="B52" s="1">
        <v>44952</v>
      </c>
      <c r="C52" t="s">
        <v>42</v>
      </c>
      <c r="D52" t="s">
        <v>34</v>
      </c>
      <c r="E52">
        <v>3187.45</v>
      </c>
      <c r="F52">
        <v>11</v>
      </c>
      <c r="G52" t="s">
        <v>29</v>
      </c>
      <c r="H52">
        <v>2414.8200000000002</v>
      </c>
      <c r="I52">
        <v>2519.0700000000002</v>
      </c>
      <c r="J52" t="s">
        <v>17</v>
      </c>
      <c r="K52">
        <v>0</v>
      </c>
      <c r="L52" t="s">
        <v>18</v>
      </c>
      <c r="M52" t="s">
        <v>19</v>
      </c>
      <c r="N52" t="s">
        <v>52</v>
      </c>
      <c r="O52">
        <f>Table2[[#This Row],[Unit_Cost]]*Table2[[#This Row],[Quantity_Sold]]</f>
        <v>26563.02</v>
      </c>
      <c r="P52">
        <f t="shared" si="0"/>
        <v>-23375.57</v>
      </c>
      <c r="Q52" s="3">
        <f>Table2[[#This Row],[Gross_Profit]]/Table2[[#This Row],[Sales_Amount]]</f>
        <v>-7.3336271941520659</v>
      </c>
      <c r="R52" t="str">
        <f>TEXT(Table2[[#This Row],[Sale_Date]],"mmmm")</f>
        <v>January</v>
      </c>
      <c r="S52" s="4">
        <f>YEAR(Table2[[#This Row],[Sale_Date]])</f>
        <v>2023</v>
      </c>
    </row>
    <row r="53" spans="1:19" x14ac:dyDescent="0.35">
      <c r="A53">
        <v>1004</v>
      </c>
      <c r="B53" s="1">
        <v>45099</v>
      </c>
      <c r="C53" t="s">
        <v>38</v>
      </c>
      <c r="D53" t="s">
        <v>25</v>
      </c>
      <c r="E53">
        <v>7762.51</v>
      </c>
      <c r="F53">
        <v>39</v>
      </c>
      <c r="G53" t="s">
        <v>35</v>
      </c>
      <c r="H53">
        <v>2416.89</v>
      </c>
      <c r="I53">
        <v>2778.3999999999901</v>
      </c>
      <c r="J53" t="s">
        <v>17</v>
      </c>
      <c r="K53">
        <v>0.05</v>
      </c>
      <c r="L53" t="s">
        <v>18</v>
      </c>
      <c r="M53" t="s">
        <v>19</v>
      </c>
      <c r="N53" t="s">
        <v>39</v>
      </c>
      <c r="O53">
        <f>Table2[[#This Row],[Unit_Cost]]*Table2[[#This Row],[Quantity_Sold]]</f>
        <v>94258.709999999992</v>
      </c>
      <c r="P53">
        <f t="shared" si="0"/>
        <v>-86496.2</v>
      </c>
      <c r="Q53" s="3">
        <f>Table2[[#This Row],[Gross_Profit]]/Table2[[#This Row],[Sales_Amount]]</f>
        <v>-11.142813342591506</v>
      </c>
      <c r="R53" t="str">
        <f>TEXT(Table2[[#This Row],[Sale_Date]],"mmmm")</f>
        <v>June</v>
      </c>
      <c r="S53" s="4">
        <f>YEAR(Table2[[#This Row],[Sale_Date]])</f>
        <v>2023</v>
      </c>
    </row>
    <row r="54" spans="1:19" x14ac:dyDescent="0.35">
      <c r="A54">
        <v>1089</v>
      </c>
      <c r="B54" s="1">
        <v>45226</v>
      </c>
      <c r="C54" t="s">
        <v>24</v>
      </c>
      <c r="D54" t="s">
        <v>15</v>
      </c>
      <c r="E54">
        <v>7751.92</v>
      </c>
      <c r="F54">
        <v>43</v>
      </c>
      <c r="G54" t="s">
        <v>16</v>
      </c>
      <c r="H54">
        <v>3851.45</v>
      </c>
      <c r="I54">
        <v>4186.9799999999996</v>
      </c>
      <c r="J54" t="s">
        <v>17</v>
      </c>
      <c r="K54">
        <v>0.3</v>
      </c>
      <c r="L54" t="s">
        <v>31</v>
      </c>
      <c r="M54" t="s">
        <v>19</v>
      </c>
      <c r="N54" t="s">
        <v>45</v>
      </c>
      <c r="O54">
        <f>Table2[[#This Row],[Unit_Cost]]*Table2[[#This Row],[Quantity_Sold]]</f>
        <v>165612.35</v>
      </c>
      <c r="P54">
        <f t="shared" si="0"/>
        <v>-157860.43</v>
      </c>
      <c r="Q54" s="3">
        <f>Table2[[#This Row],[Gross_Profit]]/Table2[[#This Row],[Sales_Amount]]</f>
        <v>-20.364042714579096</v>
      </c>
      <c r="R54" t="str">
        <f>TEXT(Table2[[#This Row],[Sale_Date]],"mmmm")</f>
        <v>October</v>
      </c>
      <c r="S54" s="4">
        <f>YEAR(Table2[[#This Row],[Sale_Date]])</f>
        <v>2023</v>
      </c>
    </row>
    <row r="55" spans="1:19" x14ac:dyDescent="0.35">
      <c r="A55">
        <v>1060</v>
      </c>
      <c r="B55" s="1">
        <v>45059</v>
      </c>
      <c r="C55" t="s">
        <v>33</v>
      </c>
      <c r="D55" t="s">
        <v>21</v>
      </c>
      <c r="E55">
        <v>5260.83</v>
      </c>
      <c r="F55">
        <v>31</v>
      </c>
      <c r="G55" t="s">
        <v>35</v>
      </c>
      <c r="H55">
        <v>3161.4</v>
      </c>
      <c r="I55">
        <v>3339.66</v>
      </c>
      <c r="J55" t="s">
        <v>17</v>
      </c>
      <c r="K55">
        <v>0.02</v>
      </c>
      <c r="L55" t="s">
        <v>27</v>
      </c>
      <c r="M55" t="s">
        <v>19</v>
      </c>
      <c r="N55" t="s">
        <v>37</v>
      </c>
      <c r="O55">
        <f>Table2[[#This Row],[Unit_Cost]]*Table2[[#This Row],[Quantity_Sold]]</f>
        <v>98003.400000000009</v>
      </c>
      <c r="P55">
        <f t="shared" si="0"/>
        <v>-92742.57</v>
      </c>
      <c r="Q55" s="3">
        <f>Table2[[#This Row],[Gross_Profit]]/Table2[[#This Row],[Sales_Amount]]</f>
        <v>-17.628885556081457</v>
      </c>
      <c r="R55" t="str">
        <f>TEXT(Table2[[#This Row],[Sale_Date]],"mmmm")</f>
        <v>May</v>
      </c>
      <c r="S55" s="4">
        <f>YEAR(Table2[[#This Row],[Sale_Date]])</f>
        <v>2023</v>
      </c>
    </row>
    <row r="56" spans="1:19" x14ac:dyDescent="0.35">
      <c r="A56">
        <v>1014</v>
      </c>
      <c r="B56" s="1">
        <v>45252</v>
      </c>
      <c r="C56" t="s">
        <v>24</v>
      </c>
      <c r="D56" t="s">
        <v>21</v>
      </c>
      <c r="E56">
        <v>9762.5400000000009</v>
      </c>
      <c r="F56">
        <v>17</v>
      </c>
      <c r="G56" t="s">
        <v>26</v>
      </c>
      <c r="H56">
        <v>3184.65</v>
      </c>
      <c r="I56">
        <v>3204.01</v>
      </c>
      <c r="J56" t="s">
        <v>30</v>
      </c>
      <c r="K56">
        <v>0.2</v>
      </c>
      <c r="L56" t="s">
        <v>27</v>
      </c>
      <c r="M56" t="s">
        <v>19</v>
      </c>
      <c r="N56" t="s">
        <v>47</v>
      </c>
      <c r="O56">
        <f>Table2[[#This Row],[Unit_Cost]]*Table2[[#This Row],[Quantity_Sold]]</f>
        <v>54139.05</v>
      </c>
      <c r="P56">
        <f t="shared" si="0"/>
        <v>-44376.51</v>
      </c>
      <c r="Q56" s="3">
        <f>Table2[[#This Row],[Gross_Profit]]/Table2[[#This Row],[Sales_Amount]]</f>
        <v>-4.5455905942510864</v>
      </c>
      <c r="R56" t="str">
        <f>TEXT(Table2[[#This Row],[Sale_Date]],"mmmm")</f>
        <v>November</v>
      </c>
      <c r="S56" s="4">
        <f>YEAR(Table2[[#This Row],[Sale_Date]])</f>
        <v>2023</v>
      </c>
    </row>
    <row r="57" spans="1:19" x14ac:dyDescent="0.35">
      <c r="A57">
        <v>1009</v>
      </c>
      <c r="B57" s="1">
        <v>45044</v>
      </c>
      <c r="C57" t="s">
        <v>42</v>
      </c>
      <c r="D57" t="s">
        <v>15</v>
      </c>
      <c r="E57">
        <v>1342.95</v>
      </c>
      <c r="F57">
        <v>33</v>
      </c>
      <c r="G57" t="s">
        <v>29</v>
      </c>
      <c r="H57">
        <v>2278.9</v>
      </c>
      <c r="I57">
        <v>2626.9</v>
      </c>
      <c r="J57" t="s">
        <v>30</v>
      </c>
      <c r="K57">
        <v>0.05</v>
      </c>
      <c r="L57" t="s">
        <v>31</v>
      </c>
      <c r="M57" t="s">
        <v>19</v>
      </c>
      <c r="N57" t="s">
        <v>49</v>
      </c>
      <c r="O57">
        <f>Table2[[#This Row],[Unit_Cost]]*Table2[[#This Row],[Quantity_Sold]]</f>
        <v>75203.7</v>
      </c>
      <c r="P57">
        <f t="shared" si="0"/>
        <v>-73860.75</v>
      </c>
      <c r="Q57" s="3">
        <f>Table2[[#This Row],[Gross_Profit]]/Table2[[#This Row],[Sales_Amount]]</f>
        <v>-54.998883055958892</v>
      </c>
      <c r="R57" t="str">
        <f>TEXT(Table2[[#This Row],[Sale_Date]],"mmmm")</f>
        <v>April</v>
      </c>
      <c r="S57" s="4">
        <f>YEAR(Table2[[#This Row],[Sale_Date]])</f>
        <v>2023</v>
      </c>
    </row>
    <row r="58" spans="1:19" x14ac:dyDescent="0.35">
      <c r="A58">
        <v>1090</v>
      </c>
      <c r="B58" s="1">
        <v>45250</v>
      </c>
      <c r="C58" t="s">
        <v>42</v>
      </c>
      <c r="D58" t="s">
        <v>21</v>
      </c>
      <c r="E58">
        <v>267.77999999999997</v>
      </c>
      <c r="F58">
        <v>32</v>
      </c>
      <c r="G58" t="s">
        <v>35</v>
      </c>
      <c r="H58">
        <v>2678.99</v>
      </c>
      <c r="I58">
        <v>3152.2799999999902</v>
      </c>
      <c r="J58" t="s">
        <v>17</v>
      </c>
      <c r="K58">
        <v>0.22</v>
      </c>
      <c r="L58" t="s">
        <v>18</v>
      </c>
      <c r="M58" t="s">
        <v>22</v>
      </c>
      <c r="N58" t="s">
        <v>51</v>
      </c>
      <c r="O58">
        <f>Table2[[#This Row],[Unit_Cost]]*Table2[[#This Row],[Quantity_Sold]]</f>
        <v>85727.679999999993</v>
      </c>
      <c r="P58">
        <f t="shared" si="0"/>
        <v>-85459.9</v>
      </c>
      <c r="Q58" s="3">
        <f>Table2[[#This Row],[Gross_Profit]]/Table2[[#This Row],[Sales_Amount]]</f>
        <v>-319.14220628874449</v>
      </c>
      <c r="R58" t="str">
        <f>TEXT(Table2[[#This Row],[Sale_Date]],"mmmm")</f>
        <v>November</v>
      </c>
      <c r="S58" s="4">
        <f>YEAR(Table2[[#This Row],[Sale_Date]])</f>
        <v>2023</v>
      </c>
    </row>
    <row r="59" spans="1:19" x14ac:dyDescent="0.35">
      <c r="A59">
        <v>1053</v>
      </c>
      <c r="B59" s="1">
        <v>45201</v>
      </c>
      <c r="C59" t="s">
        <v>24</v>
      </c>
      <c r="D59" t="s">
        <v>34</v>
      </c>
      <c r="E59">
        <v>7724.57</v>
      </c>
      <c r="F59">
        <v>29</v>
      </c>
      <c r="G59" t="s">
        <v>35</v>
      </c>
      <c r="H59">
        <v>3741.3</v>
      </c>
      <c r="I59">
        <v>4061.04</v>
      </c>
      <c r="J59" t="s">
        <v>17</v>
      </c>
      <c r="K59">
        <v>0.21</v>
      </c>
      <c r="L59" t="s">
        <v>31</v>
      </c>
      <c r="M59" t="s">
        <v>19</v>
      </c>
      <c r="N59" t="s">
        <v>50</v>
      </c>
      <c r="O59">
        <f>Table2[[#This Row],[Unit_Cost]]*Table2[[#This Row],[Quantity_Sold]]</f>
        <v>108497.70000000001</v>
      </c>
      <c r="P59">
        <f t="shared" si="0"/>
        <v>-100773.13</v>
      </c>
      <c r="Q59" s="3">
        <f>Table2[[#This Row],[Gross_Profit]]/Table2[[#This Row],[Sales_Amount]]</f>
        <v>-13.045791545678272</v>
      </c>
      <c r="R59" t="str">
        <f>TEXT(Table2[[#This Row],[Sale_Date]],"mmmm")</f>
        <v>October</v>
      </c>
      <c r="S59" s="4">
        <f>YEAR(Table2[[#This Row],[Sale_Date]])</f>
        <v>2023</v>
      </c>
    </row>
    <row r="60" spans="1:19" x14ac:dyDescent="0.35">
      <c r="A60">
        <v>1002</v>
      </c>
      <c r="B60" s="1">
        <v>45138</v>
      </c>
      <c r="C60" t="s">
        <v>24</v>
      </c>
      <c r="D60" t="s">
        <v>34</v>
      </c>
      <c r="E60">
        <v>8090.84</v>
      </c>
      <c r="F60">
        <v>21</v>
      </c>
      <c r="G60" t="s">
        <v>29</v>
      </c>
      <c r="H60">
        <v>4138.41</v>
      </c>
      <c r="I60">
        <v>4361.7</v>
      </c>
      <c r="J60" t="s">
        <v>17</v>
      </c>
      <c r="K60">
        <v>7.0000000000000007E-2</v>
      </c>
      <c r="L60" t="s">
        <v>31</v>
      </c>
      <c r="M60" t="s">
        <v>22</v>
      </c>
      <c r="N60" t="s">
        <v>50</v>
      </c>
      <c r="O60">
        <f>Table2[[#This Row],[Unit_Cost]]*Table2[[#This Row],[Quantity_Sold]]</f>
        <v>86906.61</v>
      </c>
      <c r="P60">
        <f t="shared" si="0"/>
        <v>-78815.77</v>
      </c>
      <c r="Q60" s="3">
        <f>Table2[[#This Row],[Gross_Profit]]/Table2[[#This Row],[Sales_Amount]]</f>
        <v>-9.7413581284514343</v>
      </c>
      <c r="R60" t="str">
        <f>TEXT(Table2[[#This Row],[Sale_Date]],"mmmm")</f>
        <v>July</v>
      </c>
      <c r="S60" s="4">
        <f>YEAR(Table2[[#This Row],[Sale_Date]])</f>
        <v>2023</v>
      </c>
    </row>
    <row r="61" spans="1:19" x14ac:dyDescent="0.35">
      <c r="A61">
        <v>1084</v>
      </c>
      <c r="B61" s="1">
        <v>45151</v>
      </c>
      <c r="C61" t="s">
        <v>42</v>
      </c>
      <c r="D61" t="s">
        <v>21</v>
      </c>
      <c r="E61">
        <v>1290.05</v>
      </c>
      <c r="F61">
        <v>21</v>
      </c>
      <c r="G61" t="s">
        <v>16</v>
      </c>
      <c r="H61">
        <v>3497.98</v>
      </c>
      <c r="I61">
        <v>3765.31</v>
      </c>
      <c r="J61" t="s">
        <v>30</v>
      </c>
      <c r="K61">
        <v>0.08</v>
      </c>
      <c r="L61" t="s">
        <v>18</v>
      </c>
      <c r="M61" t="s">
        <v>19</v>
      </c>
      <c r="N61" t="s">
        <v>51</v>
      </c>
      <c r="O61">
        <f>Table2[[#This Row],[Unit_Cost]]*Table2[[#This Row],[Quantity_Sold]]</f>
        <v>73457.58</v>
      </c>
      <c r="P61">
        <f t="shared" si="0"/>
        <v>-72167.53</v>
      </c>
      <c r="Q61" s="3">
        <f>Table2[[#This Row],[Gross_Profit]]/Table2[[#This Row],[Sales_Amount]]</f>
        <v>-55.941653424285882</v>
      </c>
      <c r="R61" t="str">
        <f>TEXT(Table2[[#This Row],[Sale_Date]],"mmmm")</f>
        <v>August</v>
      </c>
      <c r="S61" s="4">
        <f>YEAR(Table2[[#This Row],[Sale_Date]])</f>
        <v>2023</v>
      </c>
    </row>
    <row r="62" spans="1:19" x14ac:dyDescent="0.35">
      <c r="A62">
        <v>1092</v>
      </c>
      <c r="B62" s="1">
        <v>44946</v>
      </c>
      <c r="C62" t="s">
        <v>33</v>
      </c>
      <c r="D62" t="s">
        <v>34</v>
      </c>
      <c r="E62">
        <v>2729.27</v>
      </c>
      <c r="F62">
        <v>40</v>
      </c>
      <c r="G62" t="s">
        <v>35</v>
      </c>
      <c r="H62">
        <v>4624.16</v>
      </c>
      <c r="I62">
        <v>4731.9799999999996</v>
      </c>
      <c r="J62" t="s">
        <v>30</v>
      </c>
      <c r="K62">
        <v>0.2</v>
      </c>
      <c r="L62" t="s">
        <v>27</v>
      </c>
      <c r="M62" t="s">
        <v>22</v>
      </c>
      <c r="N62" t="s">
        <v>36</v>
      </c>
      <c r="O62">
        <f>Table2[[#This Row],[Unit_Cost]]*Table2[[#This Row],[Quantity_Sold]]</f>
        <v>184966.39999999999</v>
      </c>
      <c r="P62">
        <f t="shared" si="0"/>
        <v>-182237.13</v>
      </c>
      <c r="Q62" s="3">
        <f>Table2[[#This Row],[Gross_Profit]]/Table2[[#This Row],[Sales_Amount]]</f>
        <v>-66.771382091181891</v>
      </c>
      <c r="R62" t="str">
        <f>TEXT(Table2[[#This Row],[Sale_Date]],"mmmm")</f>
        <v>January</v>
      </c>
      <c r="S62" s="4">
        <f>YEAR(Table2[[#This Row],[Sale_Date]])</f>
        <v>2023</v>
      </c>
    </row>
    <row r="63" spans="1:19" x14ac:dyDescent="0.35">
      <c r="A63">
        <v>1060</v>
      </c>
      <c r="B63" s="1">
        <v>45039</v>
      </c>
      <c r="C63" t="s">
        <v>38</v>
      </c>
      <c r="D63" t="s">
        <v>34</v>
      </c>
      <c r="E63">
        <v>273.77</v>
      </c>
      <c r="F63">
        <v>23</v>
      </c>
      <c r="G63" t="s">
        <v>29</v>
      </c>
      <c r="H63">
        <v>4110.6000000000004</v>
      </c>
      <c r="I63">
        <v>4488.37</v>
      </c>
      <c r="J63" t="s">
        <v>30</v>
      </c>
      <c r="K63">
        <v>0.12</v>
      </c>
      <c r="L63" t="s">
        <v>31</v>
      </c>
      <c r="M63" t="s">
        <v>19</v>
      </c>
      <c r="N63" t="s">
        <v>48</v>
      </c>
      <c r="O63">
        <f>Table2[[#This Row],[Unit_Cost]]*Table2[[#This Row],[Quantity_Sold]]</f>
        <v>94543.8</v>
      </c>
      <c r="P63">
        <f t="shared" si="0"/>
        <v>-94270.03</v>
      </c>
      <c r="Q63" s="3">
        <f>Table2[[#This Row],[Gross_Profit]]/Table2[[#This Row],[Sales_Amount]]</f>
        <v>-344.34024911422</v>
      </c>
      <c r="R63" t="str">
        <f>TEXT(Table2[[#This Row],[Sale_Date]],"mmmm")</f>
        <v>April</v>
      </c>
      <c r="S63" s="4">
        <f>YEAR(Table2[[#This Row],[Sale_Date]])</f>
        <v>2023</v>
      </c>
    </row>
    <row r="64" spans="1:19" x14ac:dyDescent="0.35">
      <c r="A64">
        <v>1071</v>
      </c>
      <c r="B64" s="1">
        <v>45066</v>
      </c>
      <c r="C64" t="s">
        <v>38</v>
      </c>
      <c r="D64" t="s">
        <v>21</v>
      </c>
      <c r="E64">
        <v>3003.76</v>
      </c>
      <c r="F64">
        <v>6</v>
      </c>
      <c r="G64" t="s">
        <v>16</v>
      </c>
      <c r="H64">
        <v>2831.23</v>
      </c>
      <c r="I64">
        <v>3206.98</v>
      </c>
      <c r="J64" t="s">
        <v>17</v>
      </c>
      <c r="K64">
        <v>0.06</v>
      </c>
      <c r="L64" t="s">
        <v>27</v>
      </c>
      <c r="M64" t="s">
        <v>22</v>
      </c>
      <c r="N64" t="s">
        <v>41</v>
      </c>
      <c r="O64">
        <f>Table2[[#This Row],[Unit_Cost]]*Table2[[#This Row],[Quantity_Sold]]</f>
        <v>16987.38</v>
      </c>
      <c r="P64">
        <f t="shared" si="0"/>
        <v>-13983.62</v>
      </c>
      <c r="Q64" s="3">
        <f>Table2[[#This Row],[Gross_Profit]]/Table2[[#This Row],[Sales_Amount]]</f>
        <v>-4.6553719338429165</v>
      </c>
      <c r="R64" t="str">
        <f>TEXT(Table2[[#This Row],[Sale_Date]],"mmmm")</f>
        <v>May</v>
      </c>
      <c r="S64" s="4">
        <f>YEAR(Table2[[#This Row],[Sale_Date]])</f>
        <v>2023</v>
      </c>
    </row>
    <row r="65" spans="1:19" x14ac:dyDescent="0.35">
      <c r="A65">
        <v>1044</v>
      </c>
      <c r="B65" s="1">
        <v>44973</v>
      </c>
      <c r="C65" t="s">
        <v>24</v>
      </c>
      <c r="D65" t="s">
        <v>25</v>
      </c>
      <c r="E65">
        <v>7754.1</v>
      </c>
      <c r="F65">
        <v>22</v>
      </c>
      <c r="G65" t="s">
        <v>26</v>
      </c>
      <c r="H65">
        <v>3373.46</v>
      </c>
      <c r="I65">
        <v>3454.76</v>
      </c>
      <c r="J65" t="s">
        <v>17</v>
      </c>
      <c r="K65">
        <v>0.22</v>
      </c>
      <c r="L65" t="s">
        <v>27</v>
      </c>
      <c r="M65" t="s">
        <v>22</v>
      </c>
      <c r="N65" t="s">
        <v>28</v>
      </c>
      <c r="O65">
        <f>Table2[[#This Row],[Unit_Cost]]*Table2[[#This Row],[Quantity_Sold]]</f>
        <v>74216.12</v>
      </c>
      <c r="P65">
        <f t="shared" si="0"/>
        <v>-66462.01999999999</v>
      </c>
      <c r="Q65" s="3">
        <f>Table2[[#This Row],[Gross_Profit]]/Table2[[#This Row],[Sales_Amount]]</f>
        <v>-8.5712100695116114</v>
      </c>
      <c r="R65" t="str">
        <f>TEXT(Table2[[#This Row],[Sale_Date]],"mmmm")</f>
        <v>February</v>
      </c>
      <c r="S65" s="4">
        <f>YEAR(Table2[[#This Row],[Sale_Date]])</f>
        <v>2023</v>
      </c>
    </row>
    <row r="66" spans="1:19" x14ac:dyDescent="0.35">
      <c r="A66">
        <v>1008</v>
      </c>
      <c r="B66" s="1">
        <v>44927</v>
      </c>
      <c r="C66" t="s">
        <v>38</v>
      </c>
      <c r="D66" t="s">
        <v>15</v>
      </c>
      <c r="E66">
        <v>5227.8100000000004</v>
      </c>
      <c r="F66">
        <v>38</v>
      </c>
      <c r="G66" t="s">
        <v>29</v>
      </c>
      <c r="H66">
        <v>4635.2299999999996</v>
      </c>
      <c r="I66">
        <v>5075.4399999999996</v>
      </c>
      <c r="J66" t="s">
        <v>17</v>
      </c>
      <c r="K66">
        <v>0.05</v>
      </c>
      <c r="L66" t="s">
        <v>18</v>
      </c>
      <c r="M66" t="s">
        <v>19</v>
      </c>
      <c r="N66" t="s">
        <v>40</v>
      </c>
      <c r="O66">
        <f>Table2[[#This Row],[Unit_Cost]]*Table2[[#This Row],[Quantity_Sold]]</f>
        <v>176138.74</v>
      </c>
      <c r="P66">
        <f t="shared" ref="P66:P129" si="1">E66-O66</f>
        <v>-170910.93</v>
      </c>
      <c r="Q66" s="3">
        <f>Table2[[#This Row],[Gross_Profit]]/Table2[[#This Row],[Sales_Amount]]</f>
        <v>-32.692643764788691</v>
      </c>
      <c r="R66" t="str">
        <f>TEXT(Table2[[#This Row],[Sale_Date]],"mmmm")</f>
        <v>January</v>
      </c>
      <c r="S66" s="4">
        <f>YEAR(Table2[[#This Row],[Sale_Date]])</f>
        <v>2023</v>
      </c>
    </row>
    <row r="67" spans="1:19" x14ac:dyDescent="0.35">
      <c r="A67">
        <v>1047</v>
      </c>
      <c r="B67" s="1">
        <v>45016</v>
      </c>
      <c r="C67" t="s">
        <v>42</v>
      </c>
      <c r="D67" t="s">
        <v>34</v>
      </c>
      <c r="E67">
        <v>3546.15</v>
      </c>
      <c r="F67">
        <v>37</v>
      </c>
      <c r="G67" t="s">
        <v>35</v>
      </c>
      <c r="H67">
        <v>3114.88</v>
      </c>
      <c r="I67">
        <v>3256.78</v>
      </c>
      <c r="J67" t="s">
        <v>17</v>
      </c>
      <c r="K67">
        <v>0.26</v>
      </c>
      <c r="L67" t="s">
        <v>31</v>
      </c>
      <c r="M67" t="s">
        <v>19</v>
      </c>
      <c r="N67" t="s">
        <v>52</v>
      </c>
      <c r="O67">
        <f>Table2[[#This Row],[Unit_Cost]]*Table2[[#This Row],[Quantity_Sold]]</f>
        <v>115250.56</v>
      </c>
      <c r="P67">
        <f t="shared" si="1"/>
        <v>-111704.41</v>
      </c>
      <c r="Q67" s="3">
        <f>Table2[[#This Row],[Gross_Profit]]/Table2[[#This Row],[Sales_Amount]]</f>
        <v>-31.500193167237708</v>
      </c>
      <c r="R67" t="str">
        <f>TEXT(Table2[[#This Row],[Sale_Date]],"mmmm")</f>
        <v>March</v>
      </c>
      <c r="S67" s="4">
        <f>YEAR(Table2[[#This Row],[Sale_Date]])</f>
        <v>2023</v>
      </c>
    </row>
    <row r="68" spans="1:19" x14ac:dyDescent="0.35">
      <c r="A68">
        <v>1035</v>
      </c>
      <c r="B68" s="1">
        <v>45068</v>
      </c>
      <c r="C68" t="s">
        <v>42</v>
      </c>
      <c r="D68" t="s">
        <v>25</v>
      </c>
      <c r="E68">
        <v>3780.22</v>
      </c>
      <c r="F68">
        <v>45</v>
      </c>
      <c r="G68" t="s">
        <v>26</v>
      </c>
      <c r="H68">
        <v>4132.79</v>
      </c>
      <c r="I68">
        <v>4624.1000000000004</v>
      </c>
      <c r="J68" t="s">
        <v>30</v>
      </c>
      <c r="K68">
        <v>0.15</v>
      </c>
      <c r="L68" t="s">
        <v>31</v>
      </c>
      <c r="M68" t="s">
        <v>22</v>
      </c>
      <c r="N68" t="s">
        <v>43</v>
      </c>
      <c r="O68">
        <f>Table2[[#This Row],[Unit_Cost]]*Table2[[#This Row],[Quantity_Sold]]</f>
        <v>185975.55</v>
      </c>
      <c r="P68">
        <f t="shared" si="1"/>
        <v>-182195.33</v>
      </c>
      <c r="Q68" s="3">
        <f>Table2[[#This Row],[Gross_Profit]]/Table2[[#This Row],[Sales_Amount]]</f>
        <v>-48.197017633894326</v>
      </c>
      <c r="R68" t="str">
        <f>TEXT(Table2[[#This Row],[Sale_Date]],"mmmm")</f>
        <v>May</v>
      </c>
      <c r="S68" s="4">
        <f>YEAR(Table2[[#This Row],[Sale_Date]])</f>
        <v>2023</v>
      </c>
    </row>
    <row r="69" spans="1:19" x14ac:dyDescent="0.35">
      <c r="A69">
        <v>1078</v>
      </c>
      <c r="B69" s="1">
        <v>45246</v>
      </c>
      <c r="C69" t="s">
        <v>24</v>
      </c>
      <c r="D69" t="s">
        <v>34</v>
      </c>
      <c r="E69">
        <v>113.4</v>
      </c>
      <c r="F69">
        <v>8</v>
      </c>
      <c r="G69" t="s">
        <v>16</v>
      </c>
      <c r="H69">
        <v>3459.61</v>
      </c>
      <c r="I69">
        <v>3657.23</v>
      </c>
      <c r="J69" t="s">
        <v>17</v>
      </c>
      <c r="K69">
        <v>0.03</v>
      </c>
      <c r="L69" t="s">
        <v>27</v>
      </c>
      <c r="M69" t="s">
        <v>19</v>
      </c>
      <c r="N69" t="s">
        <v>50</v>
      </c>
      <c r="O69">
        <f>Table2[[#This Row],[Unit_Cost]]*Table2[[#This Row],[Quantity_Sold]]</f>
        <v>27676.880000000001</v>
      </c>
      <c r="P69">
        <f t="shared" si="1"/>
        <v>-27563.48</v>
      </c>
      <c r="Q69" s="3">
        <f>Table2[[#This Row],[Gross_Profit]]/Table2[[#This Row],[Sales_Amount]]</f>
        <v>-243.06419753086419</v>
      </c>
      <c r="R69" t="str">
        <f>TEXT(Table2[[#This Row],[Sale_Date]],"mmmm")</f>
        <v>November</v>
      </c>
      <c r="S69" s="4">
        <f>YEAR(Table2[[#This Row],[Sale_Date]])</f>
        <v>2023</v>
      </c>
    </row>
    <row r="70" spans="1:19" x14ac:dyDescent="0.35">
      <c r="A70">
        <v>1081</v>
      </c>
      <c r="B70" s="1">
        <v>44964</v>
      </c>
      <c r="C70" t="s">
        <v>24</v>
      </c>
      <c r="D70" t="s">
        <v>34</v>
      </c>
      <c r="E70">
        <v>3068.03</v>
      </c>
      <c r="F70">
        <v>41</v>
      </c>
      <c r="G70" t="s">
        <v>16</v>
      </c>
      <c r="H70">
        <v>2782.08</v>
      </c>
      <c r="I70">
        <v>2879.24</v>
      </c>
      <c r="J70" t="s">
        <v>30</v>
      </c>
      <c r="K70">
        <v>0.21</v>
      </c>
      <c r="L70" t="s">
        <v>27</v>
      </c>
      <c r="M70" t="s">
        <v>19</v>
      </c>
      <c r="N70" t="s">
        <v>50</v>
      </c>
      <c r="O70">
        <f>Table2[[#This Row],[Unit_Cost]]*Table2[[#This Row],[Quantity_Sold]]</f>
        <v>114065.28</v>
      </c>
      <c r="P70">
        <f t="shared" si="1"/>
        <v>-110997.25</v>
      </c>
      <c r="Q70" s="3">
        <f>Table2[[#This Row],[Gross_Profit]]/Table2[[#This Row],[Sales_Amount]]</f>
        <v>-36.178671655753035</v>
      </c>
      <c r="R70" t="str">
        <f>TEXT(Table2[[#This Row],[Sale_Date]],"mmmm")</f>
        <v>February</v>
      </c>
      <c r="S70" s="4">
        <f>YEAR(Table2[[#This Row],[Sale_Date]])</f>
        <v>2023</v>
      </c>
    </row>
    <row r="71" spans="1:19" x14ac:dyDescent="0.35">
      <c r="A71">
        <v>1036</v>
      </c>
      <c r="B71" s="1">
        <v>45219</v>
      </c>
      <c r="C71" t="s">
        <v>24</v>
      </c>
      <c r="D71" t="s">
        <v>15</v>
      </c>
      <c r="E71">
        <v>6499.94</v>
      </c>
      <c r="F71">
        <v>49</v>
      </c>
      <c r="G71" t="s">
        <v>29</v>
      </c>
      <c r="H71">
        <v>1247.0999999999999</v>
      </c>
      <c r="I71">
        <v>1429.4399999999901</v>
      </c>
      <c r="J71" t="s">
        <v>30</v>
      </c>
      <c r="K71">
        <v>0.16</v>
      </c>
      <c r="L71" t="s">
        <v>18</v>
      </c>
      <c r="M71" t="s">
        <v>19</v>
      </c>
      <c r="N71" t="s">
        <v>45</v>
      </c>
      <c r="O71">
        <f>Table2[[#This Row],[Unit_Cost]]*Table2[[#This Row],[Quantity_Sold]]</f>
        <v>61107.899999999994</v>
      </c>
      <c r="P71">
        <f t="shared" si="1"/>
        <v>-54607.959999999992</v>
      </c>
      <c r="Q71" s="3">
        <f>Table2[[#This Row],[Gross_Profit]]/Table2[[#This Row],[Sales_Amount]]</f>
        <v>-8.4013021658661451</v>
      </c>
      <c r="R71" t="str">
        <f>TEXT(Table2[[#This Row],[Sale_Date]],"mmmm")</f>
        <v>October</v>
      </c>
      <c r="S71" s="4">
        <f>YEAR(Table2[[#This Row],[Sale_Date]])</f>
        <v>2023</v>
      </c>
    </row>
    <row r="72" spans="1:19" x14ac:dyDescent="0.35">
      <c r="A72">
        <v>1050</v>
      </c>
      <c r="B72" s="1">
        <v>45065</v>
      </c>
      <c r="C72" t="s">
        <v>33</v>
      </c>
      <c r="D72" t="s">
        <v>34</v>
      </c>
      <c r="E72">
        <v>9744.52</v>
      </c>
      <c r="F72">
        <v>35</v>
      </c>
      <c r="G72" t="s">
        <v>29</v>
      </c>
      <c r="H72">
        <v>2158.69</v>
      </c>
      <c r="I72">
        <v>2384.38</v>
      </c>
      <c r="J72" t="s">
        <v>17</v>
      </c>
      <c r="K72">
        <v>0.09</v>
      </c>
      <c r="L72" t="s">
        <v>27</v>
      </c>
      <c r="M72" t="s">
        <v>22</v>
      </c>
      <c r="N72" t="s">
        <v>36</v>
      </c>
      <c r="O72">
        <f>Table2[[#This Row],[Unit_Cost]]*Table2[[#This Row],[Quantity_Sold]]</f>
        <v>75554.150000000009</v>
      </c>
      <c r="P72">
        <f t="shared" si="1"/>
        <v>-65809.63</v>
      </c>
      <c r="Q72" s="3">
        <f>Table2[[#This Row],[Gross_Profit]]/Table2[[#This Row],[Sales_Amount]]</f>
        <v>-6.7535014551768588</v>
      </c>
      <c r="R72" t="str">
        <f>TEXT(Table2[[#This Row],[Sale_Date]],"mmmm")</f>
        <v>May</v>
      </c>
      <c r="S72" s="4">
        <f>YEAR(Table2[[#This Row],[Sale_Date]])</f>
        <v>2023</v>
      </c>
    </row>
    <row r="73" spans="1:19" x14ac:dyDescent="0.35">
      <c r="A73">
        <v>1004</v>
      </c>
      <c r="B73" s="1">
        <v>45282</v>
      </c>
      <c r="C73" t="s">
        <v>38</v>
      </c>
      <c r="D73" t="s">
        <v>15</v>
      </c>
      <c r="E73">
        <v>8485.9</v>
      </c>
      <c r="F73">
        <v>11</v>
      </c>
      <c r="G73" t="s">
        <v>29</v>
      </c>
      <c r="H73">
        <v>4840.33</v>
      </c>
      <c r="I73">
        <v>4884.29</v>
      </c>
      <c r="J73" t="s">
        <v>30</v>
      </c>
      <c r="K73">
        <v>0.13</v>
      </c>
      <c r="L73" t="s">
        <v>18</v>
      </c>
      <c r="M73" t="s">
        <v>19</v>
      </c>
      <c r="N73" t="s">
        <v>40</v>
      </c>
      <c r="O73">
        <f>Table2[[#This Row],[Unit_Cost]]*Table2[[#This Row],[Quantity_Sold]]</f>
        <v>53243.63</v>
      </c>
      <c r="P73">
        <f t="shared" si="1"/>
        <v>-44757.729999999996</v>
      </c>
      <c r="Q73" s="3">
        <f>Table2[[#This Row],[Gross_Profit]]/Table2[[#This Row],[Sales_Amount]]</f>
        <v>-5.2743645341095222</v>
      </c>
      <c r="R73" t="str">
        <f>TEXT(Table2[[#This Row],[Sale_Date]],"mmmm")</f>
        <v>December</v>
      </c>
      <c r="S73" s="4">
        <f>YEAR(Table2[[#This Row],[Sale_Date]])</f>
        <v>2023</v>
      </c>
    </row>
    <row r="74" spans="1:19" x14ac:dyDescent="0.35">
      <c r="A74">
        <v>1002</v>
      </c>
      <c r="B74" s="1">
        <v>45259</v>
      </c>
      <c r="C74" t="s">
        <v>24</v>
      </c>
      <c r="D74" t="s">
        <v>15</v>
      </c>
      <c r="E74">
        <v>333.59</v>
      </c>
      <c r="F74">
        <v>24</v>
      </c>
      <c r="G74" t="s">
        <v>16</v>
      </c>
      <c r="H74">
        <v>3305.94</v>
      </c>
      <c r="I74">
        <v>3599.27</v>
      </c>
      <c r="J74" t="s">
        <v>30</v>
      </c>
      <c r="K74">
        <v>0.09</v>
      </c>
      <c r="L74" t="s">
        <v>31</v>
      </c>
      <c r="M74" t="s">
        <v>22</v>
      </c>
      <c r="N74" t="s">
        <v>45</v>
      </c>
      <c r="O74">
        <f>Table2[[#This Row],[Unit_Cost]]*Table2[[#This Row],[Quantity_Sold]]</f>
        <v>79342.559999999998</v>
      </c>
      <c r="P74">
        <f t="shared" si="1"/>
        <v>-79008.97</v>
      </c>
      <c r="Q74" s="3">
        <f>Table2[[#This Row],[Gross_Profit]]/Table2[[#This Row],[Sales_Amount]]</f>
        <v>-236.8445397044276</v>
      </c>
      <c r="R74" t="str">
        <f>TEXT(Table2[[#This Row],[Sale_Date]],"mmmm")</f>
        <v>November</v>
      </c>
      <c r="S74" s="4">
        <f>YEAR(Table2[[#This Row],[Sale_Date]])</f>
        <v>2023</v>
      </c>
    </row>
    <row r="75" spans="1:19" x14ac:dyDescent="0.35">
      <c r="A75">
        <v>1006</v>
      </c>
      <c r="B75" s="1">
        <v>45185</v>
      </c>
      <c r="C75" t="s">
        <v>14</v>
      </c>
      <c r="D75" t="s">
        <v>15</v>
      </c>
      <c r="E75">
        <v>8995.75</v>
      </c>
      <c r="F75">
        <v>49</v>
      </c>
      <c r="G75" t="s">
        <v>26</v>
      </c>
      <c r="H75">
        <v>2843.76</v>
      </c>
      <c r="I75">
        <v>3146.6</v>
      </c>
      <c r="J75" t="s">
        <v>30</v>
      </c>
      <c r="K75">
        <v>0.08</v>
      </c>
      <c r="L75" t="s">
        <v>18</v>
      </c>
      <c r="M75" t="s">
        <v>22</v>
      </c>
      <c r="N75" t="s">
        <v>20</v>
      </c>
      <c r="O75">
        <f>Table2[[#This Row],[Unit_Cost]]*Table2[[#This Row],[Quantity_Sold]]</f>
        <v>139344.24000000002</v>
      </c>
      <c r="P75">
        <f t="shared" si="1"/>
        <v>-130348.49000000002</v>
      </c>
      <c r="Q75" s="3">
        <f>Table2[[#This Row],[Gross_Profit]]/Table2[[#This Row],[Sales_Amount]]</f>
        <v>-14.490008059361367</v>
      </c>
      <c r="R75" t="str">
        <f>TEXT(Table2[[#This Row],[Sale_Date]],"mmmm")</f>
        <v>September</v>
      </c>
      <c r="S75" s="4">
        <f>YEAR(Table2[[#This Row],[Sale_Date]])</f>
        <v>2023</v>
      </c>
    </row>
    <row r="76" spans="1:19" x14ac:dyDescent="0.35">
      <c r="A76">
        <v>1054</v>
      </c>
      <c r="B76" s="1">
        <v>45087</v>
      </c>
      <c r="C76" t="s">
        <v>14</v>
      </c>
      <c r="D76" t="s">
        <v>25</v>
      </c>
      <c r="E76">
        <v>7853.66</v>
      </c>
      <c r="F76">
        <v>21</v>
      </c>
      <c r="G76" t="s">
        <v>16</v>
      </c>
      <c r="H76">
        <v>4668.1400000000003</v>
      </c>
      <c r="I76">
        <v>5040.22</v>
      </c>
      <c r="J76" t="s">
        <v>30</v>
      </c>
      <c r="K76">
        <v>0.05</v>
      </c>
      <c r="L76" t="s">
        <v>27</v>
      </c>
      <c r="M76" t="s">
        <v>19</v>
      </c>
      <c r="N76" t="s">
        <v>32</v>
      </c>
      <c r="O76">
        <f>Table2[[#This Row],[Unit_Cost]]*Table2[[#This Row],[Quantity_Sold]]</f>
        <v>98030.94</v>
      </c>
      <c r="P76">
        <f t="shared" si="1"/>
        <v>-90177.279999999999</v>
      </c>
      <c r="Q76" s="3">
        <f>Table2[[#This Row],[Gross_Profit]]/Table2[[#This Row],[Sales_Amount]]</f>
        <v>-11.482198108907184</v>
      </c>
      <c r="R76" t="str">
        <f>TEXT(Table2[[#This Row],[Sale_Date]],"mmmm")</f>
        <v>June</v>
      </c>
      <c r="S76" s="4">
        <f>YEAR(Table2[[#This Row],[Sale_Date]])</f>
        <v>2023</v>
      </c>
    </row>
    <row r="77" spans="1:19" x14ac:dyDescent="0.35">
      <c r="A77">
        <v>1004</v>
      </c>
      <c r="B77" s="1">
        <v>45104</v>
      </c>
      <c r="C77" t="s">
        <v>42</v>
      </c>
      <c r="D77" t="s">
        <v>21</v>
      </c>
      <c r="E77">
        <v>7825.72</v>
      </c>
      <c r="F77">
        <v>2</v>
      </c>
      <c r="G77" t="s">
        <v>35</v>
      </c>
      <c r="H77">
        <v>2953.23</v>
      </c>
      <c r="I77">
        <v>2977.52</v>
      </c>
      <c r="J77" t="s">
        <v>17</v>
      </c>
      <c r="K77">
        <v>0.11</v>
      </c>
      <c r="L77" t="s">
        <v>31</v>
      </c>
      <c r="M77" t="s">
        <v>22</v>
      </c>
      <c r="N77" t="s">
        <v>51</v>
      </c>
      <c r="O77">
        <f>Table2[[#This Row],[Unit_Cost]]*Table2[[#This Row],[Quantity_Sold]]</f>
        <v>5906.46</v>
      </c>
      <c r="P77">
        <f t="shared" si="1"/>
        <v>1919.2600000000002</v>
      </c>
      <c r="Q77" s="3">
        <f>Table2[[#This Row],[Gross_Profit]]/Table2[[#This Row],[Sales_Amount]]</f>
        <v>0.24525027729077967</v>
      </c>
      <c r="R77" t="str">
        <f>TEXT(Table2[[#This Row],[Sale_Date]],"mmmm")</f>
        <v>June</v>
      </c>
      <c r="S77" s="4">
        <f>YEAR(Table2[[#This Row],[Sale_Date]])</f>
        <v>2023</v>
      </c>
    </row>
    <row r="78" spans="1:19" x14ac:dyDescent="0.35">
      <c r="A78">
        <v>1054</v>
      </c>
      <c r="B78" s="1">
        <v>44936</v>
      </c>
      <c r="C78" t="s">
        <v>38</v>
      </c>
      <c r="D78" t="s">
        <v>25</v>
      </c>
      <c r="E78">
        <v>4634.16</v>
      </c>
      <c r="F78">
        <v>40</v>
      </c>
      <c r="G78" t="s">
        <v>16</v>
      </c>
      <c r="H78">
        <v>2654.11</v>
      </c>
      <c r="I78">
        <v>2929.32</v>
      </c>
      <c r="J78" t="s">
        <v>17</v>
      </c>
      <c r="K78">
        <v>0.08</v>
      </c>
      <c r="L78" t="s">
        <v>18</v>
      </c>
      <c r="M78" t="s">
        <v>19</v>
      </c>
      <c r="N78" t="s">
        <v>39</v>
      </c>
      <c r="O78">
        <f>Table2[[#This Row],[Unit_Cost]]*Table2[[#This Row],[Quantity_Sold]]</f>
        <v>106164.40000000001</v>
      </c>
      <c r="P78">
        <f t="shared" si="1"/>
        <v>-101530.24000000001</v>
      </c>
      <c r="Q78" s="3">
        <f>Table2[[#This Row],[Gross_Profit]]/Table2[[#This Row],[Sales_Amount]]</f>
        <v>-21.909092478464277</v>
      </c>
      <c r="R78" t="str">
        <f>TEXT(Table2[[#This Row],[Sale_Date]],"mmmm")</f>
        <v>January</v>
      </c>
      <c r="S78" s="4">
        <f>YEAR(Table2[[#This Row],[Sale_Date]])</f>
        <v>2023</v>
      </c>
    </row>
    <row r="79" spans="1:19" x14ac:dyDescent="0.35">
      <c r="A79">
        <v>1093</v>
      </c>
      <c r="B79" s="1">
        <v>45187</v>
      </c>
      <c r="C79" t="s">
        <v>24</v>
      </c>
      <c r="D79" t="s">
        <v>21</v>
      </c>
      <c r="E79">
        <v>4040.25</v>
      </c>
      <c r="F79">
        <v>19</v>
      </c>
      <c r="G79" t="s">
        <v>35</v>
      </c>
      <c r="H79">
        <v>3808.59</v>
      </c>
      <c r="I79">
        <v>3844.51</v>
      </c>
      <c r="J79" t="s">
        <v>30</v>
      </c>
      <c r="K79">
        <v>0.21</v>
      </c>
      <c r="L79" t="s">
        <v>31</v>
      </c>
      <c r="M79" t="s">
        <v>19</v>
      </c>
      <c r="N79" t="s">
        <v>47</v>
      </c>
      <c r="O79">
        <f>Table2[[#This Row],[Unit_Cost]]*Table2[[#This Row],[Quantity_Sold]]</f>
        <v>72363.210000000006</v>
      </c>
      <c r="P79">
        <f t="shared" si="1"/>
        <v>-68322.960000000006</v>
      </c>
      <c r="Q79" s="3">
        <f>Table2[[#This Row],[Gross_Profit]]/Table2[[#This Row],[Sales_Amount]]</f>
        <v>-16.910577315760165</v>
      </c>
      <c r="R79" t="str">
        <f>TEXT(Table2[[#This Row],[Sale_Date]],"mmmm")</f>
        <v>September</v>
      </c>
      <c r="S79" s="4">
        <f>YEAR(Table2[[#This Row],[Sale_Date]])</f>
        <v>2023</v>
      </c>
    </row>
    <row r="80" spans="1:19" x14ac:dyDescent="0.35">
      <c r="A80">
        <v>1063</v>
      </c>
      <c r="B80" s="1">
        <v>45064</v>
      </c>
      <c r="C80" t="s">
        <v>14</v>
      </c>
      <c r="D80" t="s">
        <v>21</v>
      </c>
      <c r="E80">
        <v>3098.87</v>
      </c>
      <c r="F80">
        <v>39</v>
      </c>
      <c r="G80" t="s">
        <v>26</v>
      </c>
      <c r="H80">
        <v>3577.69</v>
      </c>
      <c r="I80">
        <v>3931.25</v>
      </c>
      <c r="J80" t="s">
        <v>17</v>
      </c>
      <c r="K80">
        <v>0.21</v>
      </c>
      <c r="L80" t="s">
        <v>18</v>
      </c>
      <c r="M80" t="s">
        <v>22</v>
      </c>
      <c r="N80" t="s">
        <v>23</v>
      </c>
      <c r="O80">
        <f>Table2[[#This Row],[Unit_Cost]]*Table2[[#This Row],[Quantity_Sold]]</f>
        <v>139529.91</v>
      </c>
      <c r="P80">
        <f t="shared" si="1"/>
        <v>-136431.04000000001</v>
      </c>
      <c r="Q80" s="3">
        <f>Table2[[#This Row],[Gross_Profit]]/Table2[[#This Row],[Sales_Amount]]</f>
        <v>-44.026061112599116</v>
      </c>
      <c r="R80" t="str">
        <f>TEXT(Table2[[#This Row],[Sale_Date]],"mmmm")</f>
        <v>May</v>
      </c>
      <c r="S80" s="4">
        <f>YEAR(Table2[[#This Row],[Sale_Date]])</f>
        <v>2023</v>
      </c>
    </row>
    <row r="81" spans="1:19" x14ac:dyDescent="0.35">
      <c r="A81">
        <v>1018</v>
      </c>
      <c r="B81" s="1">
        <v>45098</v>
      </c>
      <c r="C81" t="s">
        <v>38</v>
      </c>
      <c r="D81" t="s">
        <v>15</v>
      </c>
      <c r="E81">
        <v>750.38</v>
      </c>
      <c r="F81">
        <v>28</v>
      </c>
      <c r="G81" t="s">
        <v>29</v>
      </c>
      <c r="H81">
        <v>1006.14</v>
      </c>
      <c r="I81">
        <v>1043.45</v>
      </c>
      <c r="J81" t="s">
        <v>30</v>
      </c>
      <c r="K81">
        <v>0.15</v>
      </c>
      <c r="L81" t="s">
        <v>27</v>
      </c>
      <c r="M81" t="s">
        <v>22</v>
      </c>
      <c r="N81" t="s">
        <v>40</v>
      </c>
      <c r="O81">
        <f>Table2[[#This Row],[Unit_Cost]]*Table2[[#This Row],[Quantity_Sold]]</f>
        <v>28171.919999999998</v>
      </c>
      <c r="P81">
        <f t="shared" si="1"/>
        <v>-27421.539999999997</v>
      </c>
      <c r="Q81" s="3">
        <f>Table2[[#This Row],[Gross_Profit]]/Table2[[#This Row],[Sales_Amount]]</f>
        <v>-36.543537940776673</v>
      </c>
      <c r="R81" t="str">
        <f>TEXT(Table2[[#This Row],[Sale_Date]],"mmmm")</f>
        <v>June</v>
      </c>
      <c r="S81" s="4">
        <f>YEAR(Table2[[#This Row],[Sale_Date]])</f>
        <v>2023</v>
      </c>
    </row>
    <row r="82" spans="1:19" x14ac:dyDescent="0.35">
      <c r="A82">
        <v>1090</v>
      </c>
      <c r="B82" s="1">
        <v>44939</v>
      </c>
      <c r="C82" t="s">
        <v>42</v>
      </c>
      <c r="D82" t="s">
        <v>34</v>
      </c>
      <c r="E82">
        <v>2359.5300000000002</v>
      </c>
      <c r="F82">
        <v>17</v>
      </c>
      <c r="G82" t="s">
        <v>29</v>
      </c>
      <c r="H82">
        <v>2382.98</v>
      </c>
      <c r="I82">
        <v>2839.73</v>
      </c>
      <c r="J82" t="s">
        <v>17</v>
      </c>
      <c r="K82">
        <v>0.23</v>
      </c>
      <c r="L82" t="s">
        <v>27</v>
      </c>
      <c r="M82" t="s">
        <v>22</v>
      </c>
      <c r="N82" t="s">
        <v>52</v>
      </c>
      <c r="O82">
        <f>Table2[[#This Row],[Unit_Cost]]*Table2[[#This Row],[Quantity_Sold]]</f>
        <v>40510.660000000003</v>
      </c>
      <c r="P82">
        <f t="shared" si="1"/>
        <v>-38151.130000000005</v>
      </c>
      <c r="Q82" s="3">
        <f>Table2[[#This Row],[Gross_Profit]]/Table2[[#This Row],[Sales_Amount]]</f>
        <v>-16.168953138972594</v>
      </c>
      <c r="R82" t="str">
        <f>TEXT(Table2[[#This Row],[Sale_Date]],"mmmm")</f>
        <v>January</v>
      </c>
      <c r="S82" s="4">
        <f>YEAR(Table2[[#This Row],[Sale_Date]])</f>
        <v>2023</v>
      </c>
    </row>
    <row r="83" spans="1:19" x14ac:dyDescent="0.35">
      <c r="A83">
        <v>1044</v>
      </c>
      <c r="B83" s="1">
        <v>45094</v>
      </c>
      <c r="C83" t="s">
        <v>33</v>
      </c>
      <c r="D83" t="s">
        <v>15</v>
      </c>
      <c r="E83">
        <v>2541.38</v>
      </c>
      <c r="F83">
        <v>6</v>
      </c>
      <c r="G83" t="s">
        <v>16</v>
      </c>
      <c r="H83">
        <v>2388.9499999999998</v>
      </c>
      <c r="I83">
        <v>2742.97</v>
      </c>
      <c r="J83" t="s">
        <v>17</v>
      </c>
      <c r="K83">
        <v>0.25</v>
      </c>
      <c r="L83" t="s">
        <v>31</v>
      </c>
      <c r="M83" t="s">
        <v>22</v>
      </c>
      <c r="N83" t="s">
        <v>53</v>
      </c>
      <c r="O83">
        <f>Table2[[#This Row],[Unit_Cost]]*Table2[[#This Row],[Quantity_Sold]]</f>
        <v>14333.699999999999</v>
      </c>
      <c r="P83">
        <f t="shared" si="1"/>
        <v>-11792.32</v>
      </c>
      <c r="Q83" s="3">
        <f>Table2[[#This Row],[Gross_Profit]]/Table2[[#This Row],[Sales_Amount]]</f>
        <v>-4.6401246566825893</v>
      </c>
      <c r="R83" t="str">
        <f>TEXT(Table2[[#This Row],[Sale_Date]],"mmmm")</f>
        <v>June</v>
      </c>
      <c r="S83" s="4">
        <f>YEAR(Table2[[#This Row],[Sale_Date]])</f>
        <v>2023</v>
      </c>
    </row>
    <row r="84" spans="1:19" x14ac:dyDescent="0.35">
      <c r="A84">
        <v>1034</v>
      </c>
      <c r="B84" s="1">
        <v>45056</v>
      </c>
      <c r="C84" t="s">
        <v>38</v>
      </c>
      <c r="D84" t="s">
        <v>34</v>
      </c>
      <c r="E84">
        <v>4892.3599999999997</v>
      </c>
      <c r="F84">
        <v>19</v>
      </c>
      <c r="G84" t="s">
        <v>29</v>
      </c>
      <c r="H84">
        <v>1922.21</v>
      </c>
      <c r="I84">
        <v>2180.83</v>
      </c>
      <c r="J84" t="s">
        <v>17</v>
      </c>
      <c r="K84">
        <v>0.17</v>
      </c>
      <c r="L84" t="s">
        <v>31</v>
      </c>
      <c r="M84" t="s">
        <v>22</v>
      </c>
      <c r="N84" t="s">
        <v>48</v>
      </c>
      <c r="O84">
        <f>Table2[[#This Row],[Unit_Cost]]*Table2[[#This Row],[Quantity_Sold]]</f>
        <v>36521.99</v>
      </c>
      <c r="P84">
        <f t="shared" si="1"/>
        <v>-31629.629999999997</v>
      </c>
      <c r="Q84" s="3">
        <f>Table2[[#This Row],[Gross_Profit]]/Table2[[#This Row],[Sales_Amount]]</f>
        <v>-6.46510681961262</v>
      </c>
      <c r="R84" t="str">
        <f>TEXT(Table2[[#This Row],[Sale_Date]],"mmmm")</f>
        <v>May</v>
      </c>
      <c r="S84" s="4">
        <f>YEAR(Table2[[#This Row],[Sale_Date]])</f>
        <v>2023</v>
      </c>
    </row>
    <row r="85" spans="1:19" x14ac:dyDescent="0.35">
      <c r="A85">
        <v>1074</v>
      </c>
      <c r="B85" s="1">
        <v>45010</v>
      </c>
      <c r="C85" t="s">
        <v>38</v>
      </c>
      <c r="D85" t="s">
        <v>21</v>
      </c>
      <c r="E85">
        <v>7499.7</v>
      </c>
      <c r="F85">
        <v>38</v>
      </c>
      <c r="G85" t="s">
        <v>26</v>
      </c>
      <c r="H85">
        <v>2610.6</v>
      </c>
      <c r="I85">
        <v>2836.94</v>
      </c>
      <c r="J85" t="s">
        <v>17</v>
      </c>
      <c r="K85">
        <v>0.19</v>
      </c>
      <c r="L85" t="s">
        <v>31</v>
      </c>
      <c r="M85" t="s">
        <v>19</v>
      </c>
      <c r="N85" t="s">
        <v>41</v>
      </c>
      <c r="O85">
        <f>Table2[[#This Row],[Unit_Cost]]*Table2[[#This Row],[Quantity_Sold]]</f>
        <v>99202.8</v>
      </c>
      <c r="P85">
        <f t="shared" si="1"/>
        <v>-91703.1</v>
      </c>
      <c r="Q85" s="3">
        <f>Table2[[#This Row],[Gross_Profit]]/Table2[[#This Row],[Sales_Amount]]</f>
        <v>-12.227569102764111</v>
      </c>
      <c r="R85" t="str">
        <f>TEXT(Table2[[#This Row],[Sale_Date]],"mmmm")</f>
        <v>March</v>
      </c>
      <c r="S85" s="4">
        <f>YEAR(Table2[[#This Row],[Sale_Date]])</f>
        <v>2023</v>
      </c>
    </row>
    <row r="86" spans="1:19" x14ac:dyDescent="0.35">
      <c r="A86">
        <v>1062</v>
      </c>
      <c r="B86" s="1">
        <v>45247</v>
      </c>
      <c r="C86" t="s">
        <v>33</v>
      </c>
      <c r="D86" t="s">
        <v>15</v>
      </c>
      <c r="E86">
        <v>4790.72</v>
      </c>
      <c r="F86">
        <v>28</v>
      </c>
      <c r="G86" t="s">
        <v>29</v>
      </c>
      <c r="H86">
        <v>2094.88</v>
      </c>
      <c r="I86">
        <v>2168.91</v>
      </c>
      <c r="J86" t="s">
        <v>17</v>
      </c>
      <c r="K86">
        <v>0.08</v>
      </c>
      <c r="L86" t="s">
        <v>18</v>
      </c>
      <c r="M86" t="s">
        <v>22</v>
      </c>
      <c r="N86" t="s">
        <v>53</v>
      </c>
      <c r="O86">
        <f>Table2[[#This Row],[Unit_Cost]]*Table2[[#This Row],[Quantity_Sold]]</f>
        <v>58656.639999999999</v>
      </c>
      <c r="P86">
        <f t="shared" si="1"/>
        <v>-53865.919999999998</v>
      </c>
      <c r="Q86" s="3">
        <f>Table2[[#This Row],[Gross_Profit]]/Table2[[#This Row],[Sales_Amount]]</f>
        <v>-11.243804689065525</v>
      </c>
      <c r="R86" t="str">
        <f>TEXT(Table2[[#This Row],[Sale_Date]],"mmmm")</f>
        <v>November</v>
      </c>
      <c r="S86" s="4">
        <f>YEAR(Table2[[#This Row],[Sale_Date]])</f>
        <v>2023</v>
      </c>
    </row>
    <row r="87" spans="1:19" x14ac:dyDescent="0.35">
      <c r="A87">
        <v>1100</v>
      </c>
      <c r="B87" s="1">
        <v>45245</v>
      </c>
      <c r="C87" t="s">
        <v>38</v>
      </c>
      <c r="D87" t="s">
        <v>34</v>
      </c>
      <c r="E87">
        <v>672.66</v>
      </c>
      <c r="F87">
        <v>2</v>
      </c>
      <c r="G87" t="s">
        <v>16</v>
      </c>
      <c r="H87">
        <v>1036.76</v>
      </c>
      <c r="I87">
        <v>1189.3499999999999</v>
      </c>
      <c r="J87" t="s">
        <v>30</v>
      </c>
      <c r="K87">
        <v>0.27</v>
      </c>
      <c r="L87" t="s">
        <v>27</v>
      </c>
      <c r="M87" t="s">
        <v>19</v>
      </c>
      <c r="N87" t="s">
        <v>48</v>
      </c>
      <c r="O87">
        <f>Table2[[#This Row],[Unit_Cost]]*Table2[[#This Row],[Quantity_Sold]]</f>
        <v>2073.52</v>
      </c>
      <c r="P87">
        <f t="shared" si="1"/>
        <v>-1400.8600000000001</v>
      </c>
      <c r="Q87" s="3">
        <f>Table2[[#This Row],[Gross_Profit]]/Table2[[#This Row],[Sales_Amount]]</f>
        <v>-2.0825677162310829</v>
      </c>
      <c r="R87" t="str">
        <f>TEXT(Table2[[#This Row],[Sale_Date]],"mmmm")</f>
        <v>November</v>
      </c>
      <c r="S87" s="4">
        <f>YEAR(Table2[[#This Row],[Sale_Date]])</f>
        <v>2023</v>
      </c>
    </row>
    <row r="88" spans="1:19" x14ac:dyDescent="0.35">
      <c r="A88">
        <v>1014</v>
      </c>
      <c r="B88" s="1">
        <v>45027</v>
      </c>
      <c r="C88" t="s">
        <v>42</v>
      </c>
      <c r="D88" t="s">
        <v>25</v>
      </c>
      <c r="E88">
        <v>9582.1200000000008</v>
      </c>
      <c r="F88">
        <v>38</v>
      </c>
      <c r="G88" t="s">
        <v>26</v>
      </c>
      <c r="H88">
        <v>2091.21</v>
      </c>
      <c r="I88">
        <v>2527</v>
      </c>
      <c r="J88" t="s">
        <v>17</v>
      </c>
      <c r="K88">
        <v>0.01</v>
      </c>
      <c r="L88" t="s">
        <v>31</v>
      </c>
      <c r="M88" t="s">
        <v>19</v>
      </c>
      <c r="N88" t="s">
        <v>43</v>
      </c>
      <c r="O88">
        <f>Table2[[#This Row],[Unit_Cost]]*Table2[[#This Row],[Quantity_Sold]]</f>
        <v>79465.98</v>
      </c>
      <c r="P88">
        <f t="shared" si="1"/>
        <v>-69883.86</v>
      </c>
      <c r="Q88" s="3">
        <f>Table2[[#This Row],[Gross_Profit]]/Table2[[#This Row],[Sales_Amount]]</f>
        <v>-7.2931522460582832</v>
      </c>
      <c r="R88" t="str">
        <f>TEXT(Table2[[#This Row],[Sale_Date]],"mmmm")</f>
        <v>April</v>
      </c>
      <c r="S88" s="4">
        <f>YEAR(Table2[[#This Row],[Sale_Date]])</f>
        <v>2023</v>
      </c>
    </row>
    <row r="89" spans="1:19" x14ac:dyDescent="0.35">
      <c r="A89">
        <v>1095</v>
      </c>
      <c r="B89" s="1">
        <v>45255</v>
      </c>
      <c r="C89" t="s">
        <v>42</v>
      </c>
      <c r="D89" t="s">
        <v>34</v>
      </c>
      <c r="E89">
        <v>9432.9699999999993</v>
      </c>
      <c r="F89">
        <v>37</v>
      </c>
      <c r="G89" t="s">
        <v>35</v>
      </c>
      <c r="H89">
        <v>407.77</v>
      </c>
      <c r="I89">
        <v>860.95</v>
      </c>
      <c r="J89" t="s">
        <v>30</v>
      </c>
      <c r="K89">
        <v>0.1</v>
      </c>
      <c r="L89" t="s">
        <v>31</v>
      </c>
      <c r="M89" t="s">
        <v>22</v>
      </c>
      <c r="N89" t="s">
        <v>52</v>
      </c>
      <c r="O89">
        <f>Table2[[#This Row],[Unit_Cost]]*Table2[[#This Row],[Quantity_Sold]]</f>
        <v>15087.49</v>
      </c>
      <c r="P89">
        <f t="shared" si="1"/>
        <v>-5654.52</v>
      </c>
      <c r="Q89" s="3">
        <f>Table2[[#This Row],[Gross_Profit]]/Table2[[#This Row],[Sales_Amount]]</f>
        <v>-0.59944216932736993</v>
      </c>
      <c r="R89" t="str">
        <f>TEXT(Table2[[#This Row],[Sale_Date]],"mmmm")</f>
        <v>November</v>
      </c>
      <c r="S89" s="4">
        <f>YEAR(Table2[[#This Row],[Sale_Date]])</f>
        <v>2023</v>
      </c>
    </row>
    <row r="90" spans="1:19" x14ac:dyDescent="0.35">
      <c r="A90">
        <v>1048</v>
      </c>
      <c r="B90" s="1">
        <v>45199</v>
      </c>
      <c r="C90" t="s">
        <v>33</v>
      </c>
      <c r="D90" t="s">
        <v>15</v>
      </c>
      <c r="E90">
        <v>7873.38</v>
      </c>
      <c r="F90">
        <v>4</v>
      </c>
      <c r="G90" t="s">
        <v>16</v>
      </c>
      <c r="H90">
        <v>2900.14</v>
      </c>
      <c r="I90">
        <v>2910.5099999999902</v>
      </c>
      <c r="J90" t="s">
        <v>30</v>
      </c>
      <c r="K90">
        <v>0.22</v>
      </c>
      <c r="L90" t="s">
        <v>31</v>
      </c>
      <c r="M90" t="s">
        <v>22</v>
      </c>
      <c r="N90" t="s">
        <v>53</v>
      </c>
      <c r="O90">
        <f>Table2[[#This Row],[Unit_Cost]]*Table2[[#This Row],[Quantity_Sold]]</f>
        <v>11600.56</v>
      </c>
      <c r="P90">
        <f t="shared" si="1"/>
        <v>-3727.1799999999994</v>
      </c>
      <c r="Q90" s="3">
        <f>Table2[[#This Row],[Gross_Profit]]/Table2[[#This Row],[Sales_Amount]]</f>
        <v>-0.47339008151518147</v>
      </c>
      <c r="R90" t="str">
        <f>TEXT(Table2[[#This Row],[Sale_Date]],"mmmm")</f>
        <v>September</v>
      </c>
      <c r="S90" s="4">
        <f>YEAR(Table2[[#This Row],[Sale_Date]])</f>
        <v>2023</v>
      </c>
    </row>
    <row r="91" spans="1:19" x14ac:dyDescent="0.35">
      <c r="A91">
        <v>1015</v>
      </c>
      <c r="B91" s="1">
        <v>45191</v>
      </c>
      <c r="C91" t="s">
        <v>24</v>
      </c>
      <c r="D91" t="s">
        <v>25</v>
      </c>
      <c r="E91">
        <v>9914.15</v>
      </c>
      <c r="F91">
        <v>22</v>
      </c>
      <c r="G91" t="s">
        <v>35</v>
      </c>
      <c r="H91">
        <v>4275.59</v>
      </c>
      <c r="I91">
        <v>4576.72</v>
      </c>
      <c r="J91" t="s">
        <v>17</v>
      </c>
      <c r="K91">
        <v>0.02</v>
      </c>
      <c r="L91" t="s">
        <v>18</v>
      </c>
      <c r="M91" t="s">
        <v>22</v>
      </c>
      <c r="N91" t="s">
        <v>28</v>
      </c>
      <c r="O91">
        <f>Table2[[#This Row],[Unit_Cost]]*Table2[[#This Row],[Quantity_Sold]]</f>
        <v>94062.98000000001</v>
      </c>
      <c r="P91">
        <f t="shared" si="1"/>
        <v>-84148.830000000016</v>
      </c>
      <c r="Q91" s="3">
        <f>Table2[[#This Row],[Gross_Profit]]/Table2[[#This Row],[Sales_Amount]]</f>
        <v>-8.4877503366400564</v>
      </c>
      <c r="R91" t="str">
        <f>TEXT(Table2[[#This Row],[Sale_Date]],"mmmm")</f>
        <v>September</v>
      </c>
      <c r="S91" s="4">
        <f>YEAR(Table2[[#This Row],[Sale_Date]])</f>
        <v>2023</v>
      </c>
    </row>
    <row r="92" spans="1:19" x14ac:dyDescent="0.35">
      <c r="A92">
        <v>1072</v>
      </c>
      <c r="B92" s="1">
        <v>44964</v>
      </c>
      <c r="C92" t="s">
        <v>14</v>
      </c>
      <c r="D92" t="s">
        <v>34</v>
      </c>
      <c r="E92">
        <v>5490.38</v>
      </c>
      <c r="F92">
        <v>26</v>
      </c>
      <c r="G92" t="s">
        <v>26</v>
      </c>
      <c r="H92">
        <v>3640.17</v>
      </c>
      <c r="I92">
        <v>4002.63</v>
      </c>
      <c r="J92" t="s">
        <v>30</v>
      </c>
      <c r="K92">
        <v>0.05</v>
      </c>
      <c r="L92" t="s">
        <v>31</v>
      </c>
      <c r="M92" t="s">
        <v>22</v>
      </c>
      <c r="N92" t="s">
        <v>46</v>
      </c>
      <c r="O92">
        <f>Table2[[#This Row],[Unit_Cost]]*Table2[[#This Row],[Quantity_Sold]]</f>
        <v>94644.42</v>
      </c>
      <c r="P92">
        <f t="shared" si="1"/>
        <v>-89154.04</v>
      </c>
      <c r="Q92" s="3">
        <f>Table2[[#This Row],[Gross_Profit]]/Table2[[#This Row],[Sales_Amount]]</f>
        <v>-16.238227590804279</v>
      </c>
      <c r="R92" t="str">
        <f>TEXT(Table2[[#This Row],[Sale_Date]],"mmmm")</f>
        <v>February</v>
      </c>
      <c r="S92" s="4">
        <f>YEAR(Table2[[#This Row],[Sale_Date]])</f>
        <v>2023</v>
      </c>
    </row>
    <row r="93" spans="1:19" x14ac:dyDescent="0.35">
      <c r="A93">
        <v>1078</v>
      </c>
      <c r="B93" s="1">
        <v>45020</v>
      </c>
      <c r="C93" t="s">
        <v>24</v>
      </c>
      <c r="D93" t="s">
        <v>34</v>
      </c>
      <c r="E93">
        <v>9631.41</v>
      </c>
      <c r="F93">
        <v>49</v>
      </c>
      <c r="G93" t="s">
        <v>16</v>
      </c>
      <c r="H93">
        <v>1833.95</v>
      </c>
      <c r="I93">
        <v>2147.14</v>
      </c>
      <c r="J93" t="s">
        <v>17</v>
      </c>
      <c r="K93">
        <v>0.18</v>
      </c>
      <c r="L93" t="s">
        <v>31</v>
      </c>
      <c r="M93" t="s">
        <v>22</v>
      </c>
      <c r="N93" t="s">
        <v>50</v>
      </c>
      <c r="O93">
        <f>Table2[[#This Row],[Unit_Cost]]*Table2[[#This Row],[Quantity_Sold]]</f>
        <v>89863.55</v>
      </c>
      <c r="P93">
        <f t="shared" si="1"/>
        <v>-80232.14</v>
      </c>
      <c r="Q93" s="3">
        <f>Table2[[#This Row],[Gross_Profit]]/Table2[[#This Row],[Sales_Amount]]</f>
        <v>-8.3302590171117217</v>
      </c>
      <c r="R93" t="str">
        <f>TEXT(Table2[[#This Row],[Sale_Date]],"mmmm")</f>
        <v>April</v>
      </c>
      <c r="S93" s="4">
        <f>YEAR(Table2[[#This Row],[Sale_Date]])</f>
        <v>2023</v>
      </c>
    </row>
    <row r="94" spans="1:19" x14ac:dyDescent="0.35">
      <c r="A94">
        <v>1087</v>
      </c>
      <c r="B94" s="1">
        <v>45021</v>
      </c>
      <c r="C94" t="s">
        <v>38</v>
      </c>
      <c r="D94" t="s">
        <v>34</v>
      </c>
      <c r="E94">
        <v>848.49</v>
      </c>
      <c r="F94">
        <v>43</v>
      </c>
      <c r="G94" t="s">
        <v>16</v>
      </c>
      <c r="H94">
        <v>481</v>
      </c>
      <c r="I94">
        <v>531.02</v>
      </c>
      <c r="J94" t="s">
        <v>30</v>
      </c>
      <c r="K94">
        <v>0.17</v>
      </c>
      <c r="L94" t="s">
        <v>18</v>
      </c>
      <c r="M94" t="s">
        <v>19</v>
      </c>
      <c r="N94" t="s">
        <v>48</v>
      </c>
      <c r="O94">
        <f>Table2[[#This Row],[Unit_Cost]]*Table2[[#This Row],[Quantity_Sold]]</f>
        <v>20683</v>
      </c>
      <c r="P94">
        <f t="shared" si="1"/>
        <v>-19834.509999999998</v>
      </c>
      <c r="Q94" s="3">
        <f>Table2[[#This Row],[Gross_Profit]]/Table2[[#This Row],[Sales_Amount]]</f>
        <v>-23.376244858513356</v>
      </c>
      <c r="R94" t="str">
        <f>TEXT(Table2[[#This Row],[Sale_Date]],"mmmm")</f>
        <v>April</v>
      </c>
      <c r="S94" s="4">
        <f>YEAR(Table2[[#This Row],[Sale_Date]])</f>
        <v>2023</v>
      </c>
    </row>
    <row r="95" spans="1:19" x14ac:dyDescent="0.35">
      <c r="A95">
        <v>1062</v>
      </c>
      <c r="B95" s="1">
        <v>45231</v>
      </c>
      <c r="C95" t="s">
        <v>14</v>
      </c>
      <c r="D95" t="s">
        <v>34</v>
      </c>
      <c r="E95">
        <v>3720.24</v>
      </c>
      <c r="F95">
        <v>36</v>
      </c>
      <c r="G95" t="s">
        <v>26</v>
      </c>
      <c r="H95">
        <v>1050.6400000000001</v>
      </c>
      <c r="I95">
        <v>1167.33</v>
      </c>
      <c r="J95" t="s">
        <v>30</v>
      </c>
      <c r="K95">
        <v>0.22</v>
      </c>
      <c r="L95" t="s">
        <v>18</v>
      </c>
      <c r="M95" t="s">
        <v>19</v>
      </c>
      <c r="N95" t="s">
        <v>46</v>
      </c>
      <c r="O95">
        <f>Table2[[#This Row],[Unit_Cost]]*Table2[[#This Row],[Quantity_Sold]]</f>
        <v>37823.040000000001</v>
      </c>
      <c r="P95">
        <f t="shared" si="1"/>
        <v>-34102.800000000003</v>
      </c>
      <c r="Q95" s="3">
        <f>Table2[[#This Row],[Gross_Profit]]/Table2[[#This Row],[Sales_Amount]]</f>
        <v>-9.1668279465840925</v>
      </c>
      <c r="R95" t="str">
        <f>TEXT(Table2[[#This Row],[Sale_Date]],"mmmm")</f>
        <v>November</v>
      </c>
      <c r="S95" s="4">
        <f>YEAR(Table2[[#This Row],[Sale_Date]])</f>
        <v>2023</v>
      </c>
    </row>
    <row r="96" spans="1:19" x14ac:dyDescent="0.35">
      <c r="A96">
        <v>1040</v>
      </c>
      <c r="B96" s="1">
        <v>44995</v>
      </c>
      <c r="C96" t="s">
        <v>33</v>
      </c>
      <c r="D96" t="s">
        <v>34</v>
      </c>
      <c r="E96">
        <v>2331.27</v>
      </c>
      <c r="F96">
        <v>13</v>
      </c>
      <c r="G96" t="s">
        <v>29</v>
      </c>
      <c r="H96">
        <v>2750.18</v>
      </c>
      <c r="I96">
        <v>2882.85</v>
      </c>
      <c r="J96" t="s">
        <v>17</v>
      </c>
      <c r="K96">
        <v>0.24</v>
      </c>
      <c r="L96" t="s">
        <v>31</v>
      </c>
      <c r="M96" t="s">
        <v>19</v>
      </c>
      <c r="N96" t="s">
        <v>36</v>
      </c>
      <c r="O96">
        <f>Table2[[#This Row],[Unit_Cost]]*Table2[[#This Row],[Quantity_Sold]]</f>
        <v>35752.339999999997</v>
      </c>
      <c r="P96">
        <f t="shared" si="1"/>
        <v>-33421.07</v>
      </c>
      <c r="Q96" s="3">
        <f>Table2[[#This Row],[Gross_Profit]]/Table2[[#This Row],[Sales_Amount]]</f>
        <v>-14.335992827943567</v>
      </c>
      <c r="R96" t="str">
        <f>TEXT(Table2[[#This Row],[Sale_Date]],"mmmm")</f>
        <v>March</v>
      </c>
      <c r="S96" s="4">
        <f>YEAR(Table2[[#This Row],[Sale_Date]])</f>
        <v>2023</v>
      </c>
    </row>
    <row r="97" spans="1:19" x14ac:dyDescent="0.35">
      <c r="A97">
        <v>1085</v>
      </c>
      <c r="B97" s="1">
        <v>45244</v>
      </c>
      <c r="C97" t="s">
        <v>33</v>
      </c>
      <c r="D97" t="s">
        <v>25</v>
      </c>
      <c r="E97">
        <v>2038.75</v>
      </c>
      <c r="F97">
        <v>32</v>
      </c>
      <c r="G97" t="s">
        <v>16</v>
      </c>
      <c r="H97">
        <v>1074.93</v>
      </c>
      <c r="I97">
        <v>1492.48</v>
      </c>
      <c r="J97" t="s">
        <v>17</v>
      </c>
      <c r="K97">
        <v>0.04</v>
      </c>
      <c r="L97" t="s">
        <v>31</v>
      </c>
      <c r="M97" t="s">
        <v>22</v>
      </c>
      <c r="N97" t="s">
        <v>44</v>
      </c>
      <c r="O97">
        <f>Table2[[#This Row],[Unit_Cost]]*Table2[[#This Row],[Quantity_Sold]]</f>
        <v>34397.760000000002</v>
      </c>
      <c r="P97">
        <f t="shared" si="1"/>
        <v>-32359.010000000002</v>
      </c>
      <c r="Q97" s="3">
        <f>Table2[[#This Row],[Gross_Profit]]/Table2[[#This Row],[Sales_Amount]]</f>
        <v>-15.871985285101166</v>
      </c>
      <c r="R97" t="str">
        <f>TEXT(Table2[[#This Row],[Sale_Date]],"mmmm")</f>
        <v>November</v>
      </c>
      <c r="S97" s="4">
        <f>YEAR(Table2[[#This Row],[Sale_Date]])</f>
        <v>2023</v>
      </c>
    </row>
    <row r="98" spans="1:19" x14ac:dyDescent="0.35">
      <c r="A98">
        <v>1080</v>
      </c>
      <c r="B98" s="1">
        <v>45162</v>
      </c>
      <c r="C98" t="s">
        <v>14</v>
      </c>
      <c r="D98" t="s">
        <v>21</v>
      </c>
      <c r="E98">
        <v>1493.95</v>
      </c>
      <c r="F98">
        <v>17</v>
      </c>
      <c r="G98" t="s">
        <v>16</v>
      </c>
      <c r="H98">
        <v>2742.67</v>
      </c>
      <c r="I98">
        <v>2979.64</v>
      </c>
      <c r="J98" t="s">
        <v>17</v>
      </c>
      <c r="K98">
        <v>0.01</v>
      </c>
      <c r="L98" t="s">
        <v>18</v>
      </c>
      <c r="M98" t="s">
        <v>22</v>
      </c>
      <c r="N98" t="s">
        <v>23</v>
      </c>
      <c r="O98">
        <f>Table2[[#This Row],[Unit_Cost]]*Table2[[#This Row],[Quantity_Sold]]</f>
        <v>46625.39</v>
      </c>
      <c r="P98">
        <f t="shared" si="1"/>
        <v>-45131.44</v>
      </c>
      <c r="Q98" s="3">
        <f>Table2[[#This Row],[Gross_Profit]]/Table2[[#This Row],[Sales_Amount]]</f>
        <v>-30.209471535191941</v>
      </c>
      <c r="R98" t="str">
        <f>TEXT(Table2[[#This Row],[Sale_Date]],"mmmm")</f>
        <v>August</v>
      </c>
      <c r="S98" s="4">
        <f>YEAR(Table2[[#This Row],[Sale_Date]])</f>
        <v>2023</v>
      </c>
    </row>
    <row r="99" spans="1:19" x14ac:dyDescent="0.35">
      <c r="A99">
        <v>1082</v>
      </c>
      <c r="B99" s="1">
        <v>45260</v>
      </c>
      <c r="C99" t="s">
        <v>42</v>
      </c>
      <c r="D99" t="s">
        <v>25</v>
      </c>
      <c r="E99">
        <v>6261.9</v>
      </c>
      <c r="F99">
        <v>41</v>
      </c>
      <c r="G99" t="s">
        <v>35</v>
      </c>
      <c r="H99">
        <v>1196.42</v>
      </c>
      <c r="I99">
        <v>1444.97</v>
      </c>
      <c r="J99" t="s">
        <v>17</v>
      </c>
      <c r="K99">
        <v>0.21</v>
      </c>
      <c r="L99" t="s">
        <v>27</v>
      </c>
      <c r="M99" t="s">
        <v>19</v>
      </c>
      <c r="N99" t="s">
        <v>43</v>
      </c>
      <c r="O99">
        <f>Table2[[#This Row],[Unit_Cost]]*Table2[[#This Row],[Quantity_Sold]]</f>
        <v>49053.22</v>
      </c>
      <c r="P99">
        <f t="shared" si="1"/>
        <v>-42791.32</v>
      </c>
      <c r="Q99" s="3">
        <f>Table2[[#This Row],[Gross_Profit]]/Table2[[#This Row],[Sales_Amount]]</f>
        <v>-6.8336000255513509</v>
      </c>
      <c r="R99" t="str">
        <f>TEXT(Table2[[#This Row],[Sale_Date]],"mmmm")</f>
        <v>November</v>
      </c>
      <c r="S99" s="4">
        <f>YEAR(Table2[[#This Row],[Sale_Date]])</f>
        <v>2023</v>
      </c>
    </row>
    <row r="100" spans="1:19" x14ac:dyDescent="0.35">
      <c r="A100">
        <v>1053</v>
      </c>
      <c r="B100" s="1">
        <v>45063</v>
      </c>
      <c r="C100" t="s">
        <v>14</v>
      </c>
      <c r="D100" t="s">
        <v>25</v>
      </c>
      <c r="E100">
        <v>7835.09</v>
      </c>
      <c r="F100">
        <v>36</v>
      </c>
      <c r="G100" t="s">
        <v>29</v>
      </c>
      <c r="H100">
        <v>4252.17</v>
      </c>
      <c r="I100">
        <v>4720.2700000000004</v>
      </c>
      <c r="J100" t="s">
        <v>30</v>
      </c>
      <c r="K100">
        <v>0.09</v>
      </c>
      <c r="L100" t="s">
        <v>18</v>
      </c>
      <c r="M100" t="s">
        <v>22</v>
      </c>
      <c r="N100" t="s">
        <v>32</v>
      </c>
      <c r="O100">
        <f>Table2[[#This Row],[Unit_Cost]]*Table2[[#This Row],[Quantity_Sold]]</f>
        <v>153078.12</v>
      </c>
      <c r="P100">
        <f t="shared" si="1"/>
        <v>-145243.03</v>
      </c>
      <c r="Q100" s="3">
        <f>Table2[[#This Row],[Gross_Profit]]/Table2[[#This Row],[Sales_Amount]]</f>
        <v>-18.537506269870544</v>
      </c>
      <c r="R100" t="str">
        <f>TEXT(Table2[[#This Row],[Sale_Date]],"mmmm")</f>
        <v>May</v>
      </c>
      <c r="S100" s="4">
        <f>YEAR(Table2[[#This Row],[Sale_Date]])</f>
        <v>2023</v>
      </c>
    </row>
    <row r="101" spans="1:19" x14ac:dyDescent="0.35">
      <c r="A101">
        <v>1024</v>
      </c>
      <c r="B101" s="1">
        <v>45002</v>
      </c>
      <c r="C101" t="s">
        <v>38</v>
      </c>
      <c r="D101" t="s">
        <v>25</v>
      </c>
      <c r="E101">
        <v>5825.15</v>
      </c>
      <c r="F101">
        <v>46</v>
      </c>
      <c r="G101" t="s">
        <v>35</v>
      </c>
      <c r="H101">
        <v>2016.49</v>
      </c>
      <c r="I101">
        <v>2338.66</v>
      </c>
      <c r="J101" t="s">
        <v>17</v>
      </c>
      <c r="K101">
        <v>0.19</v>
      </c>
      <c r="L101" t="s">
        <v>27</v>
      </c>
      <c r="M101" t="s">
        <v>22</v>
      </c>
      <c r="N101" t="s">
        <v>39</v>
      </c>
      <c r="O101">
        <f>Table2[[#This Row],[Unit_Cost]]*Table2[[#This Row],[Quantity_Sold]]</f>
        <v>92758.54</v>
      </c>
      <c r="P101">
        <f t="shared" si="1"/>
        <v>-86933.39</v>
      </c>
      <c r="Q101" s="3">
        <f>Table2[[#This Row],[Gross_Profit]]/Table2[[#This Row],[Sales_Amount]]</f>
        <v>-14.923802820528227</v>
      </c>
      <c r="R101" t="str">
        <f>TEXT(Table2[[#This Row],[Sale_Date]],"mmmm")</f>
        <v>March</v>
      </c>
      <c r="S101" s="4">
        <f>YEAR(Table2[[#This Row],[Sale_Date]])</f>
        <v>2023</v>
      </c>
    </row>
    <row r="102" spans="1:19" x14ac:dyDescent="0.35">
      <c r="A102">
        <v>1026</v>
      </c>
      <c r="B102" s="1">
        <v>44961</v>
      </c>
      <c r="C102" t="s">
        <v>42</v>
      </c>
      <c r="D102" t="s">
        <v>21</v>
      </c>
      <c r="E102">
        <v>1554.93</v>
      </c>
      <c r="F102">
        <v>19</v>
      </c>
      <c r="G102" t="s">
        <v>35</v>
      </c>
      <c r="H102">
        <v>1265.48</v>
      </c>
      <c r="I102">
        <v>1715.83</v>
      </c>
      <c r="J102" t="s">
        <v>30</v>
      </c>
      <c r="K102">
        <v>0.05</v>
      </c>
      <c r="L102" t="s">
        <v>31</v>
      </c>
      <c r="M102" t="s">
        <v>22</v>
      </c>
      <c r="N102" t="s">
        <v>51</v>
      </c>
      <c r="O102">
        <f>Table2[[#This Row],[Unit_Cost]]*Table2[[#This Row],[Quantity_Sold]]</f>
        <v>24044.12</v>
      </c>
      <c r="P102">
        <f t="shared" si="1"/>
        <v>-22489.19</v>
      </c>
      <c r="Q102" s="3">
        <f>Table2[[#This Row],[Gross_Profit]]/Table2[[#This Row],[Sales_Amount]]</f>
        <v>-14.463152682114305</v>
      </c>
      <c r="R102" t="str">
        <f>TEXT(Table2[[#This Row],[Sale_Date]],"mmmm")</f>
        <v>February</v>
      </c>
      <c r="S102" s="4">
        <f>YEAR(Table2[[#This Row],[Sale_Date]])</f>
        <v>2023</v>
      </c>
    </row>
    <row r="103" spans="1:19" x14ac:dyDescent="0.35">
      <c r="A103">
        <v>1089</v>
      </c>
      <c r="B103" s="1">
        <v>44927</v>
      </c>
      <c r="C103" t="s">
        <v>33</v>
      </c>
      <c r="D103" t="s">
        <v>15</v>
      </c>
      <c r="E103">
        <v>8130.13</v>
      </c>
      <c r="F103">
        <v>35</v>
      </c>
      <c r="G103" t="s">
        <v>29</v>
      </c>
      <c r="H103">
        <v>4071.01</v>
      </c>
      <c r="I103">
        <v>4304.7</v>
      </c>
      <c r="J103" t="s">
        <v>30</v>
      </c>
      <c r="K103">
        <v>0.14000000000000001</v>
      </c>
      <c r="L103" t="s">
        <v>31</v>
      </c>
      <c r="M103" t="s">
        <v>19</v>
      </c>
      <c r="N103" t="s">
        <v>53</v>
      </c>
      <c r="O103">
        <f>Table2[[#This Row],[Unit_Cost]]*Table2[[#This Row],[Quantity_Sold]]</f>
        <v>142485.35</v>
      </c>
      <c r="P103">
        <f t="shared" si="1"/>
        <v>-134355.22</v>
      </c>
      <c r="Q103" s="3">
        <f>Table2[[#This Row],[Gross_Profit]]/Table2[[#This Row],[Sales_Amount]]</f>
        <v>-16.5255930716975</v>
      </c>
      <c r="R103" t="str">
        <f>TEXT(Table2[[#This Row],[Sale_Date]],"mmmm")</f>
        <v>January</v>
      </c>
      <c r="S103" s="4">
        <f>YEAR(Table2[[#This Row],[Sale_Date]])</f>
        <v>2023</v>
      </c>
    </row>
    <row r="104" spans="1:19" x14ac:dyDescent="0.35">
      <c r="A104">
        <v>1060</v>
      </c>
      <c r="B104" s="1">
        <v>45222</v>
      </c>
      <c r="C104" t="s">
        <v>14</v>
      </c>
      <c r="D104" t="s">
        <v>21</v>
      </c>
      <c r="E104">
        <v>6395.95</v>
      </c>
      <c r="F104">
        <v>46</v>
      </c>
      <c r="G104" t="s">
        <v>29</v>
      </c>
      <c r="H104">
        <v>1747.05</v>
      </c>
      <c r="I104">
        <v>1830.27</v>
      </c>
      <c r="J104" t="s">
        <v>30</v>
      </c>
      <c r="K104">
        <v>0.15</v>
      </c>
      <c r="L104" t="s">
        <v>27</v>
      </c>
      <c r="M104" t="s">
        <v>22</v>
      </c>
      <c r="N104" t="s">
        <v>23</v>
      </c>
      <c r="O104">
        <f>Table2[[#This Row],[Unit_Cost]]*Table2[[#This Row],[Quantity_Sold]]</f>
        <v>80364.3</v>
      </c>
      <c r="P104">
        <f t="shared" si="1"/>
        <v>-73968.350000000006</v>
      </c>
      <c r="Q104" s="3">
        <f>Table2[[#This Row],[Gross_Profit]]/Table2[[#This Row],[Sales_Amount]]</f>
        <v>-11.56487308374831</v>
      </c>
      <c r="R104" t="str">
        <f>TEXT(Table2[[#This Row],[Sale_Date]],"mmmm")</f>
        <v>October</v>
      </c>
      <c r="S104" s="4">
        <f>YEAR(Table2[[#This Row],[Sale_Date]])</f>
        <v>2023</v>
      </c>
    </row>
    <row r="105" spans="1:19" x14ac:dyDescent="0.35">
      <c r="A105">
        <v>1041</v>
      </c>
      <c r="B105" s="1">
        <v>45246</v>
      </c>
      <c r="C105" t="s">
        <v>24</v>
      </c>
      <c r="D105" t="s">
        <v>25</v>
      </c>
      <c r="E105">
        <v>3942.84</v>
      </c>
      <c r="F105">
        <v>40</v>
      </c>
      <c r="G105" t="s">
        <v>26</v>
      </c>
      <c r="H105">
        <v>601.86</v>
      </c>
      <c r="I105">
        <v>1067.53</v>
      </c>
      <c r="J105" t="s">
        <v>30</v>
      </c>
      <c r="K105">
        <v>0.18</v>
      </c>
      <c r="L105" t="s">
        <v>18</v>
      </c>
      <c r="M105" t="s">
        <v>19</v>
      </c>
      <c r="N105" t="s">
        <v>28</v>
      </c>
      <c r="O105">
        <f>Table2[[#This Row],[Unit_Cost]]*Table2[[#This Row],[Quantity_Sold]]</f>
        <v>24074.400000000001</v>
      </c>
      <c r="P105">
        <f t="shared" si="1"/>
        <v>-20131.560000000001</v>
      </c>
      <c r="Q105" s="3">
        <f>Table2[[#This Row],[Gross_Profit]]/Table2[[#This Row],[Sales_Amount]]</f>
        <v>-5.1058526341418879</v>
      </c>
      <c r="R105" t="str">
        <f>TEXT(Table2[[#This Row],[Sale_Date]],"mmmm")</f>
        <v>November</v>
      </c>
      <c r="S105" s="4">
        <f>YEAR(Table2[[#This Row],[Sale_Date]])</f>
        <v>2023</v>
      </c>
    </row>
    <row r="106" spans="1:19" x14ac:dyDescent="0.35">
      <c r="A106">
        <v>1029</v>
      </c>
      <c r="B106" s="1">
        <v>44986</v>
      </c>
      <c r="C106" t="s">
        <v>24</v>
      </c>
      <c r="D106" t="s">
        <v>34</v>
      </c>
      <c r="E106">
        <v>6773.89</v>
      </c>
      <c r="F106">
        <v>28</v>
      </c>
      <c r="G106" t="s">
        <v>29</v>
      </c>
      <c r="H106">
        <v>2873.53</v>
      </c>
      <c r="I106">
        <v>3108.3</v>
      </c>
      <c r="J106" t="s">
        <v>30</v>
      </c>
      <c r="K106">
        <v>0.15</v>
      </c>
      <c r="L106" t="s">
        <v>31</v>
      </c>
      <c r="M106" t="s">
        <v>22</v>
      </c>
      <c r="N106" t="s">
        <v>50</v>
      </c>
      <c r="O106">
        <f>Table2[[#This Row],[Unit_Cost]]*Table2[[#This Row],[Quantity_Sold]]</f>
        <v>80458.840000000011</v>
      </c>
      <c r="P106">
        <f t="shared" si="1"/>
        <v>-73684.950000000012</v>
      </c>
      <c r="Q106" s="3">
        <f>Table2[[#This Row],[Gross_Profit]]/Table2[[#This Row],[Sales_Amount]]</f>
        <v>-10.87778957142794</v>
      </c>
      <c r="R106" t="str">
        <f>TEXT(Table2[[#This Row],[Sale_Date]],"mmmm")</f>
        <v>March</v>
      </c>
      <c r="S106" s="4">
        <f>YEAR(Table2[[#This Row],[Sale_Date]])</f>
        <v>2023</v>
      </c>
    </row>
    <row r="107" spans="1:19" x14ac:dyDescent="0.35">
      <c r="A107">
        <v>1015</v>
      </c>
      <c r="B107" s="1">
        <v>45246</v>
      </c>
      <c r="C107" t="s">
        <v>38</v>
      </c>
      <c r="D107" t="s">
        <v>34</v>
      </c>
      <c r="E107">
        <v>2673.06</v>
      </c>
      <c r="F107">
        <v>1</v>
      </c>
      <c r="G107" t="s">
        <v>16</v>
      </c>
      <c r="H107">
        <v>2928.74</v>
      </c>
      <c r="I107">
        <v>3027.74</v>
      </c>
      <c r="J107" t="s">
        <v>30</v>
      </c>
      <c r="K107">
        <v>0.15</v>
      </c>
      <c r="L107" t="s">
        <v>27</v>
      </c>
      <c r="M107" t="s">
        <v>22</v>
      </c>
      <c r="N107" t="s">
        <v>48</v>
      </c>
      <c r="O107">
        <f>Table2[[#This Row],[Unit_Cost]]*Table2[[#This Row],[Quantity_Sold]]</f>
        <v>2928.74</v>
      </c>
      <c r="P107">
        <f t="shared" si="1"/>
        <v>-255.67999999999984</v>
      </c>
      <c r="Q107" s="3">
        <f>Table2[[#This Row],[Gross_Profit]]/Table2[[#This Row],[Sales_Amount]]</f>
        <v>-9.5650677500692033E-2</v>
      </c>
      <c r="R107" t="str">
        <f>TEXT(Table2[[#This Row],[Sale_Date]],"mmmm")</f>
        <v>November</v>
      </c>
      <c r="S107" s="4">
        <f>YEAR(Table2[[#This Row],[Sale_Date]])</f>
        <v>2023</v>
      </c>
    </row>
    <row r="108" spans="1:19" x14ac:dyDescent="0.35">
      <c r="A108">
        <v>1045</v>
      </c>
      <c r="B108" s="1">
        <v>45275</v>
      </c>
      <c r="C108" t="s">
        <v>24</v>
      </c>
      <c r="D108" t="s">
        <v>25</v>
      </c>
      <c r="E108">
        <v>3517.4</v>
      </c>
      <c r="F108">
        <v>42</v>
      </c>
      <c r="G108" t="s">
        <v>29</v>
      </c>
      <c r="H108">
        <v>3587.74</v>
      </c>
      <c r="I108">
        <v>3745.91</v>
      </c>
      <c r="J108" t="s">
        <v>17</v>
      </c>
      <c r="K108">
        <v>0.1</v>
      </c>
      <c r="L108" t="s">
        <v>18</v>
      </c>
      <c r="M108" t="s">
        <v>19</v>
      </c>
      <c r="N108" t="s">
        <v>28</v>
      </c>
      <c r="O108">
        <f>Table2[[#This Row],[Unit_Cost]]*Table2[[#This Row],[Quantity_Sold]]</f>
        <v>150685.07999999999</v>
      </c>
      <c r="P108">
        <f t="shared" si="1"/>
        <v>-147167.67999999999</v>
      </c>
      <c r="Q108" s="3">
        <f>Table2[[#This Row],[Gross_Profit]]/Table2[[#This Row],[Sales_Amount]]</f>
        <v>-41.83990447489623</v>
      </c>
      <c r="R108" t="str">
        <f>TEXT(Table2[[#This Row],[Sale_Date]],"mmmm")</f>
        <v>December</v>
      </c>
      <c r="S108" s="4">
        <f>YEAR(Table2[[#This Row],[Sale_Date]])</f>
        <v>2023</v>
      </c>
    </row>
    <row r="109" spans="1:19" x14ac:dyDescent="0.35">
      <c r="A109">
        <v>1065</v>
      </c>
      <c r="B109" s="1">
        <v>45254</v>
      </c>
      <c r="C109" t="s">
        <v>14</v>
      </c>
      <c r="D109" t="s">
        <v>34</v>
      </c>
      <c r="E109">
        <v>9183.11</v>
      </c>
      <c r="F109">
        <v>18</v>
      </c>
      <c r="G109" t="s">
        <v>26</v>
      </c>
      <c r="H109">
        <v>1239.0899999999999</v>
      </c>
      <c r="I109">
        <v>1273.98</v>
      </c>
      <c r="J109" t="s">
        <v>30</v>
      </c>
      <c r="K109">
        <v>0.02</v>
      </c>
      <c r="L109" t="s">
        <v>27</v>
      </c>
      <c r="M109" t="s">
        <v>22</v>
      </c>
      <c r="N109" t="s">
        <v>46</v>
      </c>
      <c r="O109">
        <f>Table2[[#This Row],[Unit_Cost]]*Table2[[#This Row],[Quantity_Sold]]</f>
        <v>22303.62</v>
      </c>
      <c r="P109">
        <f t="shared" si="1"/>
        <v>-13120.509999999998</v>
      </c>
      <c r="Q109" s="3">
        <f>Table2[[#This Row],[Gross_Profit]]/Table2[[#This Row],[Sales_Amount]]</f>
        <v>-1.4287654182515508</v>
      </c>
      <c r="R109" t="str">
        <f>TEXT(Table2[[#This Row],[Sale_Date]],"mmmm")</f>
        <v>November</v>
      </c>
      <c r="S109" s="4">
        <f>YEAR(Table2[[#This Row],[Sale_Date]])</f>
        <v>2023</v>
      </c>
    </row>
    <row r="110" spans="1:19" x14ac:dyDescent="0.35">
      <c r="A110">
        <v>1089</v>
      </c>
      <c r="B110" s="1">
        <v>45193</v>
      </c>
      <c r="C110" t="s">
        <v>14</v>
      </c>
      <c r="D110" t="s">
        <v>25</v>
      </c>
      <c r="E110">
        <v>2975.99</v>
      </c>
      <c r="F110">
        <v>48</v>
      </c>
      <c r="G110" t="s">
        <v>26</v>
      </c>
      <c r="H110">
        <v>2246.67</v>
      </c>
      <c r="I110">
        <v>2486.14</v>
      </c>
      <c r="J110" t="s">
        <v>30</v>
      </c>
      <c r="K110">
        <v>0.03</v>
      </c>
      <c r="L110" t="s">
        <v>18</v>
      </c>
      <c r="M110" t="s">
        <v>22</v>
      </c>
      <c r="N110" t="s">
        <v>32</v>
      </c>
      <c r="O110">
        <f>Table2[[#This Row],[Unit_Cost]]*Table2[[#This Row],[Quantity_Sold]]</f>
        <v>107840.16</v>
      </c>
      <c r="P110">
        <f t="shared" si="1"/>
        <v>-104864.17</v>
      </c>
      <c r="Q110" s="3">
        <f>Table2[[#This Row],[Gross_Profit]]/Table2[[#This Row],[Sales_Amount]]</f>
        <v>-35.236734666447134</v>
      </c>
      <c r="R110" t="str">
        <f>TEXT(Table2[[#This Row],[Sale_Date]],"mmmm")</f>
        <v>September</v>
      </c>
      <c r="S110" s="4">
        <f>YEAR(Table2[[#This Row],[Sale_Date]])</f>
        <v>2023</v>
      </c>
    </row>
    <row r="111" spans="1:19" x14ac:dyDescent="0.35">
      <c r="A111">
        <v>1071</v>
      </c>
      <c r="B111" s="1">
        <v>45287</v>
      </c>
      <c r="C111" t="s">
        <v>24</v>
      </c>
      <c r="D111" t="s">
        <v>34</v>
      </c>
      <c r="E111">
        <v>4752.88</v>
      </c>
      <c r="F111">
        <v>40</v>
      </c>
      <c r="G111" t="s">
        <v>26</v>
      </c>
      <c r="H111">
        <v>1447.72</v>
      </c>
      <c r="I111">
        <v>1875.75</v>
      </c>
      <c r="J111" t="s">
        <v>30</v>
      </c>
      <c r="K111">
        <v>0.13</v>
      </c>
      <c r="L111" t="s">
        <v>18</v>
      </c>
      <c r="M111" t="s">
        <v>22</v>
      </c>
      <c r="N111" t="s">
        <v>50</v>
      </c>
      <c r="O111">
        <f>Table2[[#This Row],[Unit_Cost]]*Table2[[#This Row],[Quantity_Sold]]</f>
        <v>57908.800000000003</v>
      </c>
      <c r="P111">
        <f t="shared" si="1"/>
        <v>-53155.920000000006</v>
      </c>
      <c r="Q111" s="3">
        <f>Table2[[#This Row],[Gross_Profit]]/Table2[[#This Row],[Sales_Amount]]</f>
        <v>-11.183939001195066</v>
      </c>
      <c r="R111" t="str">
        <f>TEXT(Table2[[#This Row],[Sale_Date]],"mmmm")</f>
        <v>December</v>
      </c>
      <c r="S111" s="4">
        <f>YEAR(Table2[[#This Row],[Sale_Date]])</f>
        <v>2023</v>
      </c>
    </row>
    <row r="112" spans="1:19" x14ac:dyDescent="0.35">
      <c r="A112">
        <v>1009</v>
      </c>
      <c r="B112" s="1">
        <v>45155</v>
      </c>
      <c r="C112" t="s">
        <v>14</v>
      </c>
      <c r="D112" t="s">
        <v>21</v>
      </c>
      <c r="E112">
        <v>8912.4</v>
      </c>
      <c r="F112">
        <v>33</v>
      </c>
      <c r="G112" t="s">
        <v>29</v>
      </c>
      <c r="H112">
        <v>450.72</v>
      </c>
      <c r="I112">
        <v>918.17</v>
      </c>
      <c r="J112" t="s">
        <v>17</v>
      </c>
      <c r="K112">
        <v>0.11</v>
      </c>
      <c r="L112" t="s">
        <v>18</v>
      </c>
      <c r="M112" t="s">
        <v>19</v>
      </c>
      <c r="N112" t="s">
        <v>23</v>
      </c>
      <c r="O112">
        <f>Table2[[#This Row],[Unit_Cost]]*Table2[[#This Row],[Quantity_Sold]]</f>
        <v>14873.76</v>
      </c>
      <c r="P112">
        <f t="shared" si="1"/>
        <v>-5961.3600000000006</v>
      </c>
      <c r="Q112" s="3">
        <f>Table2[[#This Row],[Gross_Profit]]/Table2[[#This Row],[Sales_Amount]]</f>
        <v>-0.66888380234280342</v>
      </c>
      <c r="R112" t="str">
        <f>TEXT(Table2[[#This Row],[Sale_Date]],"mmmm")</f>
        <v>August</v>
      </c>
      <c r="S112" s="4">
        <f>YEAR(Table2[[#This Row],[Sale_Date]])</f>
        <v>2023</v>
      </c>
    </row>
    <row r="113" spans="1:19" x14ac:dyDescent="0.35">
      <c r="A113">
        <v>1088</v>
      </c>
      <c r="B113" s="1">
        <v>45196</v>
      </c>
      <c r="C113" t="s">
        <v>38</v>
      </c>
      <c r="D113" t="s">
        <v>15</v>
      </c>
      <c r="E113">
        <v>7106.44</v>
      </c>
      <c r="F113">
        <v>12</v>
      </c>
      <c r="G113" t="s">
        <v>29</v>
      </c>
      <c r="H113">
        <v>4389.24</v>
      </c>
      <c r="I113">
        <v>4856.2199999999903</v>
      </c>
      <c r="J113" t="s">
        <v>17</v>
      </c>
      <c r="K113">
        <v>0.15</v>
      </c>
      <c r="L113" t="s">
        <v>18</v>
      </c>
      <c r="M113" t="s">
        <v>22</v>
      </c>
      <c r="N113" t="s">
        <v>40</v>
      </c>
      <c r="O113">
        <f>Table2[[#This Row],[Unit_Cost]]*Table2[[#This Row],[Quantity_Sold]]</f>
        <v>52670.879999999997</v>
      </c>
      <c r="P113">
        <f t="shared" si="1"/>
        <v>-45564.439999999995</v>
      </c>
      <c r="Q113" s="3">
        <f>Table2[[#This Row],[Gross_Profit]]/Table2[[#This Row],[Sales_Amount]]</f>
        <v>-6.4117110677075999</v>
      </c>
      <c r="R113" t="str">
        <f>TEXT(Table2[[#This Row],[Sale_Date]],"mmmm")</f>
        <v>September</v>
      </c>
      <c r="S113" s="4">
        <f>YEAR(Table2[[#This Row],[Sale_Date]])</f>
        <v>2023</v>
      </c>
    </row>
    <row r="114" spans="1:19" x14ac:dyDescent="0.35">
      <c r="A114">
        <v>1001</v>
      </c>
      <c r="B114" s="1">
        <v>45242</v>
      </c>
      <c r="C114" t="s">
        <v>42</v>
      </c>
      <c r="D114" t="s">
        <v>15</v>
      </c>
      <c r="E114">
        <v>715.81</v>
      </c>
      <c r="F114">
        <v>8</v>
      </c>
      <c r="G114" t="s">
        <v>35</v>
      </c>
      <c r="H114">
        <v>3657.91</v>
      </c>
      <c r="I114">
        <v>3729.27</v>
      </c>
      <c r="J114" t="s">
        <v>30</v>
      </c>
      <c r="K114">
        <v>0.09</v>
      </c>
      <c r="L114" t="s">
        <v>27</v>
      </c>
      <c r="M114" t="s">
        <v>22</v>
      </c>
      <c r="N114" t="s">
        <v>49</v>
      </c>
      <c r="O114">
        <f>Table2[[#This Row],[Unit_Cost]]*Table2[[#This Row],[Quantity_Sold]]</f>
        <v>29263.279999999999</v>
      </c>
      <c r="P114">
        <f t="shared" si="1"/>
        <v>-28547.469999999998</v>
      </c>
      <c r="Q114" s="3">
        <f>Table2[[#This Row],[Gross_Profit]]/Table2[[#This Row],[Sales_Amount]]</f>
        <v>-39.881351196546568</v>
      </c>
      <c r="R114" t="str">
        <f>TEXT(Table2[[#This Row],[Sale_Date]],"mmmm")</f>
        <v>November</v>
      </c>
      <c r="S114" s="4">
        <f>YEAR(Table2[[#This Row],[Sale_Date]])</f>
        <v>2023</v>
      </c>
    </row>
    <row r="115" spans="1:19" x14ac:dyDescent="0.35">
      <c r="A115">
        <v>1008</v>
      </c>
      <c r="B115" s="1">
        <v>45212</v>
      </c>
      <c r="C115" t="s">
        <v>38</v>
      </c>
      <c r="D115" t="s">
        <v>21</v>
      </c>
      <c r="E115">
        <v>1558.3</v>
      </c>
      <c r="F115">
        <v>24</v>
      </c>
      <c r="G115" t="s">
        <v>35</v>
      </c>
      <c r="H115">
        <v>1542.24</v>
      </c>
      <c r="I115">
        <v>1739.45</v>
      </c>
      <c r="J115" t="s">
        <v>17</v>
      </c>
      <c r="K115">
        <v>0.21</v>
      </c>
      <c r="L115" t="s">
        <v>27</v>
      </c>
      <c r="M115" t="s">
        <v>22</v>
      </c>
      <c r="N115" t="s">
        <v>41</v>
      </c>
      <c r="O115">
        <f>Table2[[#This Row],[Unit_Cost]]*Table2[[#This Row],[Quantity_Sold]]</f>
        <v>37013.760000000002</v>
      </c>
      <c r="P115">
        <f t="shared" si="1"/>
        <v>-35455.46</v>
      </c>
      <c r="Q115" s="3">
        <f>Table2[[#This Row],[Gross_Profit]]/Table2[[#This Row],[Sales_Amount]]</f>
        <v>-22.752653532695888</v>
      </c>
      <c r="R115" t="str">
        <f>TEXT(Table2[[#This Row],[Sale_Date]],"mmmm")</f>
        <v>October</v>
      </c>
      <c r="S115" s="4">
        <f>YEAR(Table2[[#This Row],[Sale_Date]])</f>
        <v>2023</v>
      </c>
    </row>
    <row r="116" spans="1:19" x14ac:dyDescent="0.35">
      <c r="A116">
        <v>1088</v>
      </c>
      <c r="B116" s="1">
        <v>45217</v>
      </c>
      <c r="C116" t="s">
        <v>38</v>
      </c>
      <c r="D116" t="s">
        <v>21</v>
      </c>
      <c r="E116">
        <v>177.63</v>
      </c>
      <c r="F116">
        <v>16</v>
      </c>
      <c r="G116" t="s">
        <v>16</v>
      </c>
      <c r="H116">
        <v>3016.9</v>
      </c>
      <c r="I116">
        <v>3040.73</v>
      </c>
      <c r="J116" t="s">
        <v>30</v>
      </c>
      <c r="K116">
        <v>0.26</v>
      </c>
      <c r="L116" t="s">
        <v>27</v>
      </c>
      <c r="M116" t="s">
        <v>22</v>
      </c>
      <c r="N116" t="s">
        <v>41</v>
      </c>
      <c r="O116">
        <f>Table2[[#This Row],[Unit_Cost]]*Table2[[#This Row],[Quantity_Sold]]</f>
        <v>48270.400000000001</v>
      </c>
      <c r="P116">
        <f t="shared" si="1"/>
        <v>-48092.770000000004</v>
      </c>
      <c r="Q116" s="3">
        <f>Table2[[#This Row],[Gross_Profit]]/Table2[[#This Row],[Sales_Amount]]</f>
        <v>-270.74688960198165</v>
      </c>
      <c r="R116" t="str">
        <f>TEXT(Table2[[#This Row],[Sale_Date]],"mmmm")</f>
        <v>October</v>
      </c>
      <c r="S116" s="4">
        <f>YEAR(Table2[[#This Row],[Sale_Date]])</f>
        <v>2023</v>
      </c>
    </row>
    <row r="117" spans="1:19" x14ac:dyDescent="0.35">
      <c r="A117">
        <v>1063</v>
      </c>
      <c r="B117" s="1">
        <v>45139</v>
      </c>
      <c r="C117" t="s">
        <v>14</v>
      </c>
      <c r="D117" t="s">
        <v>25</v>
      </c>
      <c r="E117">
        <v>6346.13</v>
      </c>
      <c r="F117">
        <v>4</v>
      </c>
      <c r="G117" t="s">
        <v>35</v>
      </c>
      <c r="H117">
        <v>1046.26</v>
      </c>
      <c r="I117">
        <v>1475.29</v>
      </c>
      <c r="J117" t="s">
        <v>17</v>
      </c>
      <c r="K117">
        <v>0.09</v>
      </c>
      <c r="L117" t="s">
        <v>27</v>
      </c>
      <c r="M117" t="s">
        <v>22</v>
      </c>
      <c r="N117" t="s">
        <v>32</v>
      </c>
      <c r="O117">
        <f>Table2[[#This Row],[Unit_Cost]]*Table2[[#This Row],[Quantity_Sold]]</f>
        <v>4185.04</v>
      </c>
      <c r="P117">
        <f t="shared" si="1"/>
        <v>2161.09</v>
      </c>
      <c r="Q117" s="3">
        <f>Table2[[#This Row],[Gross_Profit]]/Table2[[#This Row],[Sales_Amount]]</f>
        <v>0.34053667353174299</v>
      </c>
      <c r="R117" t="str">
        <f>TEXT(Table2[[#This Row],[Sale_Date]],"mmmm")</f>
        <v>August</v>
      </c>
      <c r="S117" s="4">
        <f>YEAR(Table2[[#This Row],[Sale_Date]])</f>
        <v>2023</v>
      </c>
    </row>
    <row r="118" spans="1:19" x14ac:dyDescent="0.35">
      <c r="A118">
        <v>1011</v>
      </c>
      <c r="B118" s="1">
        <v>45091</v>
      </c>
      <c r="C118" t="s">
        <v>42</v>
      </c>
      <c r="D118" t="s">
        <v>25</v>
      </c>
      <c r="E118">
        <v>4531.97</v>
      </c>
      <c r="F118">
        <v>38</v>
      </c>
      <c r="G118" t="s">
        <v>16</v>
      </c>
      <c r="H118">
        <v>4456.67</v>
      </c>
      <c r="I118">
        <v>4642.46</v>
      </c>
      <c r="J118" t="s">
        <v>30</v>
      </c>
      <c r="K118">
        <v>0.06</v>
      </c>
      <c r="L118" t="s">
        <v>27</v>
      </c>
      <c r="M118" t="s">
        <v>19</v>
      </c>
      <c r="N118" t="s">
        <v>43</v>
      </c>
      <c r="O118">
        <f>Table2[[#This Row],[Unit_Cost]]*Table2[[#This Row],[Quantity_Sold]]</f>
        <v>169353.46</v>
      </c>
      <c r="P118">
        <f t="shared" si="1"/>
        <v>-164821.49</v>
      </c>
      <c r="Q118" s="3">
        <f>Table2[[#This Row],[Gross_Profit]]/Table2[[#This Row],[Sales_Amount]]</f>
        <v>-36.368618944962122</v>
      </c>
      <c r="R118" t="str">
        <f>TEXT(Table2[[#This Row],[Sale_Date]],"mmmm")</f>
        <v>June</v>
      </c>
      <c r="S118" s="4">
        <f>YEAR(Table2[[#This Row],[Sale_Date]])</f>
        <v>2023</v>
      </c>
    </row>
    <row r="119" spans="1:19" x14ac:dyDescent="0.35">
      <c r="A119">
        <v>1081</v>
      </c>
      <c r="B119" s="1">
        <v>44931</v>
      </c>
      <c r="C119" t="s">
        <v>14</v>
      </c>
      <c r="D119" t="s">
        <v>25</v>
      </c>
      <c r="E119">
        <v>1429.32</v>
      </c>
      <c r="F119">
        <v>44</v>
      </c>
      <c r="G119" t="s">
        <v>26</v>
      </c>
      <c r="H119">
        <v>618.79</v>
      </c>
      <c r="I119">
        <v>938.04</v>
      </c>
      <c r="J119" t="s">
        <v>17</v>
      </c>
      <c r="K119">
        <v>0.03</v>
      </c>
      <c r="L119" t="s">
        <v>18</v>
      </c>
      <c r="M119" t="s">
        <v>19</v>
      </c>
      <c r="N119" t="s">
        <v>32</v>
      </c>
      <c r="O119">
        <f>Table2[[#This Row],[Unit_Cost]]*Table2[[#This Row],[Quantity_Sold]]</f>
        <v>27226.76</v>
      </c>
      <c r="P119">
        <f t="shared" si="1"/>
        <v>-25797.439999999999</v>
      </c>
      <c r="Q119" s="3">
        <f>Table2[[#This Row],[Gross_Profit]]/Table2[[#This Row],[Sales_Amount]]</f>
        <v>-18.048750454761706</v>
      </c>
      <c r="R119" t="str">
        <f>TEXT(Table2[[#This Row],[Sale_Date]],"mmmm")</f>
        <v>January</v>
      </c>
      <c r="S119" s="4">
        <f>YEAR(Table2[[#This Row],[Sale_Date]])</f>
        <v>2023</v>
      </c>
    </row>
    <row r="120" spans="1:19" x14ac:dyDescent="0.35">
      <c r="A120">
        <v>1008</v>
      </c>
      <c r="B120" s="1">
        <v>45265</v>
      </c>
      <c r="C120" t="s">
        <v>33</v>
      </c>
      <c r="D120" t="s">
        <v>34</v>
      </c>
      <c r="E120">
        <v>9583.5499999999993</v>
      </c>
      <c r="F120">
        <v>27</v>
      </c>
      <c r="G120" t="s">
        <v>35</v>
      </c>
      <c r="H120">
        <v>68.989999999999995</v>
      </c>
      <c r="I120">
        <v>429.29</v>
      </c>
      <c r="J120" t="s">
        <v>17</v>
      </c>
      <c r="K120">
        <v>0.18</v>
      </c>
      <c r="L120" t="s">
        <v>31</v>
      </c>
      <c r="M120" t="s">
        <v>22</v>
      </c>
      <c r="N120" t="s">
        <v>36</v>
      </c>
      <c r="O120">
        <f>Table2[[#This Row],[Unit_Cost]]*Table2[[#This Row],[Quantity_Sold]]</f>
        <v>1862.7299999999998</v>
      </c>
      <c r="P120">
        <f t="shared" si="1"/>
        <v>7720.82</v>
      </c>
      <c r="Q120" s="3">
        <f>Table2[[#This Row],[Gross_Profit]]/Table2[[#This Row],[Sales_Amount]]</f>
        <v>0.80563256830715135</v>
      </c>
      <c r="R120" t="str">
        <f>TEXT(Table2[[#This Row],[Sale_Date]],"mmmm")</f>
        <v>December</v>
      </c>
      <c r="S120" s="4">
        <f>YEAR(Table2[[#This Row],[Sale_Date]])</f>
        <v>2023</v>
      </c>
    </row>
    <row r="121" spans="1:19" x14ac:dyDescent="0.35">
      <c r="A121">
        <v>1035</v>
      </c>
      <c r="B121" s="1">
        <v>45004</v>
      </c>
      <c r="C121" t="s">
        <v>14</v>
      </c>
      <c r="D121" t="s">
        <v>25</v>
      </c>
      <c r="E121">
        <v>5343.63</v>
      </c>
      <c r="F121">
        <v>9</v>
      </c>
      <c r="G121" t="s">
        <v>29</v>
      </c>
      <c r="H121">
        <v>2534.94</v>
      </c>
      <c r="I121">
        <v>2755.56</v>
      </c>
      <c r="J121" t="s">
        <v>17</v>
      </c>
      <c r="K121">
        <v>0.13</v>
      </c>
      <c r="L121" t="s">
        <v>31</v>
      </c>
      <c r="M121" t="s">
        <v>22</v>
      </c>
      <c r="N121" t="s">
        <v>32</v>
      </c>
      <c r="O121">
        <f>Table2[[#This Row],[Unit_Cost]]*Table2[[#This Row],[Quantity_Sold]]</f>
        <v>22814.46</v>
      </c>
      <c r="P121">
        <f t="shared" si="1"/>
        <v>-17470.829999999998</v>
      </c>
      <c r="Q121" s="3">
        <f>Table2[[#This Row],[Gross_Profit]]/Table2[[#This Row],[Sales_Amount]]</f>
        <v>-3.2694685073629719</v>
      </c>
      <c r="R121" t="str">
        <f>TEXT(Table2[[#This Row],[Sale_Date]],"mmmm")</f>
        <v>March</v>
      </c>
      <c r="S121" s="4">
        <f>YEAR(Table2[[#This Row],[Sale_Date]])</f>
        <v>2023</v>
      </c>
    </row>
    <row r="122" spans="1:19" x14ac:dyDescent="0.35">
      <c r="A122">
        <v>1035</v>
      </c>
      <c r="B122" s="1">
        <v>44988</v>
      </c>
      <c r="C122" t="s">
        <v>14</v>
      </c>
      <c r="D122" t="s">
        <v>21</v>
      </c>
      <c r="E122">
        <v>2494.7399999999998</v>
      </c>
      <c r="F122">
        <v>47</v>
      </c>
      <c r="G122" t="s">
        <v>35</v>
      </c>
      <c r="H122">
        <v>2936.48</v>
      </c>
      <c r="I122">
        <v>3096.64</v>
      </c>
      <c r="J122" t="s">
        <v>30</v>
      </c>
      <c r="K122">
        <v>0.06</v>
      </c>
      <c r="L122" t="s">
        <v>27</v>
      </c>
      <c r="M122" t="s">
        <v>19</v>
      </c>
      <c r="N122" t="s">
        <v>23</v>
      </c>
      <c r="O122">
        <f>Table2[[#This Row],[Unit_Cost]]*Table2[[#This Row],[Quantity_Sold]]</f>
        <v>138014.56</v>
      </c>
      <c r="P122">
        <f t="shared" si="1"/>
        <v>-135519.82</v>
      </c>
      <c r="Q122" s="3">
        <f>Table2[[#This Row],[Gross_Profit]]/Table2[[#This Row],[Sales_Amount]]</f>
        <v>-54.32222195499331</v>
      </c>
      <c r="R122" t="str">
        <f>TEXT(Table2[[#This Row],[Sale_Date]],"mmmm")</f>
        <v>March</v>
      </c>
      <c r="S122" s="4">
        <f>YEAR(Table2[[#This Row],[Sale_Date]])</f>
        <v>2023</v>
      </c>
    </row>
    <row r="123" spans="1:19" x14ac:dyDescent="0.35">
      <c r="A123">
        <v>1033</v>
      </c>
      <c r="B123" s="1">
        <v>45058</v>
      </c>
      <c r="C123" t="s">
        <v>14</v>
      </c>
      <c r="D123" t="s">
        <v>15</v>
      </c>
      <c r="E123">
        <v>5055.9799999999996</v>
      </c>
      <c r="F123">
        <v>16</v>
      </c>
      <c r="G123" t="s">
        <v>16</v>
      </c>
      <c r="H123">
        <v>2915.88</v>
      </c>
      <c r="I123">
        <v>3397.36</v>
      </c>
      <c r="J123" t="s">
        <v>30</v>
      </c>
      <c r="K123">
        <v>0.2</v>
      </c>
      <c r="L123" t="s">
        <v>27</v>
      </c>
      <c r="M123" t="s">
        <v>22</v>
      </c>
      <c r="N123" t="s">
        <v>20</v>
      </c>
      <c r="O123">
        <f>Table2[[#This Row],[Unit_Cost]]*Table2[[#This Row],[Quantity_Sold]]</f>
        <v>46654.080000000002</v>
      </c>
      <c r="P123">
        <f t="shared" si="1"/>
        <v>-41598.100000000006</v>
      </c>
      <c r="Q123" s="3">
        <f>Table2[[#This Row],[Gross_Profit]]/Table2[[#This Row],[Sales_Amount]]</f>
        <v>-8.2275048556362975</v>
      </c>
      <c r="R123" t="str">
        <f>TEXT(Table2[[#This Row],[Sale_Date]],"mmmm")</f>
        <v>May</v>
      </c>
      <c r="S123" s="4">
        <f>YEAR(Table2[[#This Row],[Sale_Date]])</f>
        <v>2023</v>
      </c>
    </row>
    <row r="124" spans="1:19" x14ac:dyDescent="0.35">
      <c r="A124">
        <v>1005</v>
      </c>
      <c r="B124" s="1">
        <v>45015</v>
      </c>
      <c r="C124" t="s">
        <v>42</v>
      </c>
      <c r="D124" t="s">
        <v>34</v>
      </c>
      <c r="E124">
        <v>6828.24</v>
      </c>
      <c r="F124">
        <v>12</v>
      </c>
      <c r="G124" t="s">
        <v>35</v>
      </c>
      <c r="H124">
        <v>319.83</v>
      </c>
      <c r="I124">
        <v>802.43</v>
      </c>
      <c r="J124" t="s">
        <v>30</v>
      </c>
      <c r="K124">
        <v>0.04</v>
      </c>
      <c r="L124" t="s">
        <v>31</v>
      </c>
      <c r="M124" t="s">
        <v>22</v>
      </c>
      <c r="N124" t="s">
        <v>52</v>
      </c>
      <c r="O124">
        <f>Table2[[#This Row],[Unit_Cost]]*Table2[[#This Row],[Quantity_Sold]]</f>
        <v>3837.96</v>
      </c>
      <c r="P124">
        <f t="shared" si="1"/>
        <v>2990.2799999999997</v>
      </c>
      <c r="Q124" s="3">
        <f>Table2[[#This Row],[Gross_Profit]]/Table2[[#This Row],[Sales_Amount]]</f>
        <v>0.43792836807142099</v>
      </c>
      <c r="R124" t="str">
        <f>TEXT(Table2[[#This Row],[Sale_Date]],"mmmm")</f>
        <v>March</v>
      </c>
      <c r="S124" s="4">
        <f>YEAR(Table2[[#This Row],[Sale_Date]])</f>
        <v>2023</v>
      </c>
    </row>
    <row r="125" spans="1:19" x14ac:dyDescent="0.35">
      <c r="A125">
        <v>1041</v>
      </c>
      <c r="B125" s="1">
        <v>45163</v>
      </c>
      <c r="C125" t="s">
        <v>14</v>
      </c>
      <c r="D125" t="s">
        <v>25</v>
      </c>
      <c r="E125">
        <v>854.77</v>
      </c>
      <c r="F125">
        <v>31</v>
      </c>
      <c r="G125" t="s">
        <v>26</v>
      </c>
      <c r="H125">
        <v>1604.52</v>
      </c>
      <c r="I125">
        <v>1756.34</v>
      </c>
      <c r="J125" t="s">
        <v>17</v>
      </c>
      <c r="K125">
        <v>0.17</v>
      </c>
      <c r="L125" t="s">
        <v>18</v>
      </c>
      <c r="M125" t="s">
        <v>22</v>
      </c>
      <c r="N125" t="s">
        <v>32</v>
      </c>
      <c r="O125">
        <f>Table2[[#This Row],[Unit_Cost]]*Table2[[#This Row],[Quantity_Sold]]</f>
        <v>49740.12</v>
      </c>
      <c r="P125">
        <f t="shared" si="1"/>
        <v>-48885.350000000006</v>
      </c>
      <c r="Q125" s="3">
        <f>Table2[[#This Row],[Gross_Profit]]/Table2[[#This Row],[Sales_Amount]]</f>
        <v>-57.191232729272208</v>
      </c>
      <c r="R125" t="str">
        <f>TEXT(Table2[[#This Row],[Sale_Date]],"mmmm")</f>
        <v>August</v>
      </c>
      <c r="S125" s="4">
        <f>YEAR(Table2[[#This Row],[Sale_Date]])</f>
        <v>2023</v>
      </c>
    </row>
    <row r="126" spans="1:19" x14ac:dyDescent="0.35">
      <c r="A126">
        <v>1028</v>
      </c>
      <c r="B126" s="1">
        <v>44968</v>
      </c>
      <c r="C126" t="s">
        <v>42</v>
      </c>
      <c r="D126" t="s">
        <v>34</v>
      </c>
      <c r="E126">
        <v>2819.57</v>
      </c>
      <c r="F126">
        <v>24</v>
      </c>
      <c r="G126" t="s">
        <v>29</v>
      </c>
      <c r="H126">
        <v>2521.0300000000002</v>
      </c>
      <c r="I126">
        <v>2766.05</v>
      </c>
      <c r="J126" t="s">
        <v>17</v>
      </c>
      <c r="K126">
        <v>0.16</v>
      </c>
      <c r="L126" t="s">
        <v>27</v>
      </c>
      <c r="M126" t="s">
        <v>22</v>
      </c>
      <c r="N126" t="s">
        <v>52</v>
      </c>
      <c r="O126">
        <f>Table2[[#This Row],[Unit_Cost]]*Table2[[#This Row],[Quantity_Sold]]</f>
        <v>60504.72</v>
      </c>
      <c r="P126">
        <f t="shared" si="1"/>
        <v>-57685.15</v>
      </c>
      <c r="Q126" s="3">
        <f>Table2[[#This Row],[Gross_Profit]]/Table2[[#This Row],[Sales_Amount]]</f>
        <v>-20.458846561709763</v>
      </c>
      <c r="R126" t="str">
        <f>TEXT(Table2[[#This Row],[Sale_Date]],"mmmm")</f>
        <v>February</v>
      </c>
      <c r="S126" s="4">
        <f>YEAR(Table2[[#This Row],[Sale_Date]])</f>
        <v>2023</v>
      </c>
    </row>
    <row r="127" spans="1:19" x14ac:dyDescent="0.35">
      <c r="A127">
        <v>1007</v>
      </c>
      <c r="B127" s="1">
        <v>45015</v>
      </c>
      <c r="C127" t="s">
        <v>24</v>
      </c>
      <c r="D127" t="s">
        <v>34</v>
      </c>
      <c r="E127">
        <v>8088.96</v>
      </c>
      <c r="F127">
        <v>14</v>
      </c>
      <c r="G127" t="s">
        <v>16</v>
      </c>
      <c r="H127">
        <v>1122.07</v>
      </c>
      <c r="I127">
        <v>1608.76</v>
      </c>
      <c r="J127" t="s">
        <v>30</v>
      </c>
      <c r="K127">
        <v>0.22</v>
      </c>
      <c r="L127" t="s">
        <v>18</v>
      </c>
      <c r="M127" t="s">
        <v>22</v>
      </c>
      <c r="N127" t="s">
        <v>50</v>
      </c>
      <c r="O127">
        <f>Table2[[#This Row],[Unit_Cost]]*Table2[[#This Row],[Quantity_Sold]]</f>
        <v>15708.98</v>
      </c>
      <c r="P127">
        <f t="shared" si="1"/>
        <v>-7620.0199999999995</v>
      </c>
      <c r="Q127" s="3">
        <f>Table2[[#This Row],[Gross_Profit]]/Table2[[#This Row],[Sales_Amount]]</f>
        <v>-0.94202715800300652</v>
      </c>
      <c r="R127" t="str">
        <f>TEXT(Table2[[#This Row],[Sale_Date]],"mmmm")</f>
        <v>March</v>
      </c>
      <c r="S127" s="4">
        <f>YEAR(Table2[[#This Row],[Sale_Date]])</f>
        <v>2023</v>
      </c>
    </row>
    <row r="128" spans="1:19" x14ac:dyDescent="0.35">
      <c r="A128">
        <v>1073</v>
      </c>
      <c r="B128" s="1">
        <v>45222</v>
      </c>
      <c r="C128" t="s">
        <v>33</v>
      </c>
      <c r="D128" t="s">
        <v>25</v>
      </c>
      <c r="E128">
        <v>4650.68</v>
      </c>
      <c r="F128">
        <v>45</v>
      </c>
      <c r="G128" t="s">
        <v>29</v>
      </c>
      <c r="H128">
        <v>4369.5</v>
      </c>
      <c r="I128">
        <v>4381.8900000000003</v>
      </c>
      <c r="J128" t="s">
        <v>17</v>
      </c>
      <c r="K128">
        <v>0.02</v>
      </c>
      <c r="L128" t="s">
        <v>31</v>
      </c>
      <c r="M128" t="s">
        <v>22</v>
      </c>
      <c r="N128" t="s">
        <v>44</v>
      </c>
      <c r="O128">
        <f>Table2[[#This Row],[Unit_Cost]]*Table2[[#This Row],[Quantity_Sold]]</f>
        <v>196627.5</v>
      </c>
      <c r="P128">
        <f t="shared" si="1"/>
        <v>-191976.82</v>
      </c>
      <c r="Q128" s="3">
        <f>Table2[[#This Row],[Gross_Profit]]/Table2[[#This Row],[Sales_Amount]]</f>
        <v>-41.279301091453291</v>
      </c>
      <c r="R128" t="str">
        <f>TEXT(Table2[[#This Row],[Sale_Date]],"mmmm")</f>
        <v>October</v>
      </c>
      <c r="S128" s="4">
        <f>YEAR(Table2[[#This Row],[Sale_Date]])</f>
        <v>2023</v>
      </c>
    </row>
    <row r="129" spans="1:19" x14ac:dyDescent="0.35">
      <c r="A129">
        <v>1072</v>
      </c>
      <c r="B129" s="1">
        <v>45254</v>
      </c>
      <c r="C129" t="s">
        <v>42</v>
      </c>
      <c r="D129" t="s">
        <v>34</v>
      </c>
      <c r="E129">
        <v>5511.11</v>
      </c>
      <c r="F129">
        <v>25</v>
      </c>
      <c r="G129" t="s">
        <v>29</v>
      </c>
      <c r="H129">
        <v>481.19</v>
      </c>
      <c r="I129">
        <v>693.4</v>
      </c>
      <c r="J129" t="s">
        <v>30</v>
      </c>
      <c r="K129">
        <v>0.27</v>
      </c>
      <c r="L129" t="s">
        <v>31</v>
      </c>
      <c r="M129" t="s">
        <v>22</v>
      </c>
      <c r="N129" t="s">
        <v>52</v>
      </c>
      <c r="O129">
        <f>Table2[[#This Row],[Unit_Cost]]*Table2[[#This Row],[Quantity_Sold]]</f>
        <v>12029.75</v>
      </c>
      <c r="P129">
        <f t="shared" si="1"/>
        <v>-6518.64</v>
      </c>
      <c r="Q129" s="3">
        <f>Table2[[#This Row],[Gross_Profit]]/Table2[[#This Row],[Sales_Amount]]</f>
        <v>-1.182817980406851</v>
      </c>
      <c r="R129" t="str">
        <f>TEXT(Table2[[#This Row],[Sale_Date]],"mmmm")</f>
        <v>November</v>
      </c>
      <c r="S129" s="4">
        <f>YEAR(Table2[[#This Row],[Sale_Date]])</f>
        <v>2023</v>
      </c>
    </row>
    <row r="130" spans="1:19" x14ac:dyDescent="0.35">
      <c r="A130">
        <v>1012</v>
      </c>
      <c r="B130" s="1">
        <v>45221</v>
      </c>
      <c r="C130" t="s">
        <v>24</v>
      </c>
      <c r="D130" t="s">
        <v>15</v>
      </c>
      <c r="E130">
        <v>4384.88</v>
      </c>
      <c r="F130">
        <v>34</v>
      </c>
      <c r="G130" t="s">
        <v>16</v>
      </c>
      <c r="H130">
        <v>2462.5500000000002</v>
      </c>
      <c r="I130">
        <v>2521.77</v>
      </c>
      <c r="J130" t="s">
        <v>30</v>
      </c>
      <c r="K130">
        <v>0.21</v>
      </c>
      <c r="L130" t="s">
        <v>27</v>
      </c>
      <c r="M130" t="s">
        <v>22</v>
      </c>
      <c r="N130" t="s">
        <v>45</v>
      </c>
      <c r="O130">
        <f>Table2[[#This Row],[Unit_Cost]]*Table2[[#This Row],[Quantity_Sold]]</f>
        <v>83726.700000000012</v>
      </c>
      <c r="P130">
        <f t="shared" ref="P130:P193" si="2">E130-O130</f>
        <v>-79341.820000000007</v>
      </c>
      <c r="Q130" s="3">
        <f>Table2[[#This Row],[Gross_Profit]]/Table2[[#This Row],[Sales_Amount]]</f>
        <v>-18.094410793453871</v>
      </c>
      <c r="R130" t="str">
        <f>TEXT(Table2[[#This Row],[Sale_Date]],"mmmm")</f>
        <v>October</v>
      </c>
      <c r="S130" s="4">
        <f>YEAR(Table2[[#This Row],[Sale_Date]])</f>
        <v>2023</v>
      </c>
    </row>
    <row r="131" spans="1:19" x14ac:dyDescent="0.35">
      <c r="A131">
        <v>1034</v>
      </c>
      <c r="B131" s="1">
        <v>45030</v>
      </c>
      <c r="C131" t="s">
        <v>42</v>
      </c>
      <c r="D131" t="s">
        <v>21</v>
      </c>
      <c r="E131">
        <v>534.61</v>
      </c>
      <c r="F131">
        <v>3</v>
      </c>
      <c r="G131" t="s">
        <v>29</v>
      </c>
      <c r="H131">
        <v>3472.51</v>
      </c>
      <c r="I131">
        <v>3732</v>
      </c>
      <c r="J131" t="s">
        <v>30</v>
      </c>
      <c r="K131">
        <v>0.06</v>
      </c>
      <c r="L131" t="s">
        <v>18</v>
      </c>
      <c r="M131" t="s">
        <v>19</v>
      </c>
      <c r="N131" t="s">
        <v>51</v>
      </c>
      <c r="O131">
        <f>Table2[[#This Row],[Unit_Cost]]*Table2[[#This Row],[Quantity_Sold]]</f>
        <v>10417.530000000001</v>
      </c>
      <c r="P131">
        <f t="shared" si="2"/>
        <v>-9882.92</v>
      </c>
      <c r="Q131" s="3">
        <f>Table2[[#This Row],[Gross_Profit]]/Table2[[#This Row],[Sales_Amount]]</f>
        <v>-18.48622360225211</v>
      </c>
      <c r="R131" t="str">
        <f>TEXT(Table2[[#This Row],[Sale_Date]],"mmmm")</f>
        <v>April</v>
      </c>
      <c r="S131" s="4">
        <f>YEAR(Table2[[#This Row],[Sale_Date]])</f>
        <v>2023</v>
      </c>
    </row>
    <row r="132" spans="1:19" x14ac:dyDescent="0.35">
      <c r="A132">
        <v>1033</v>
      </c>
      <c r="B132" s="1">
        <v>44940</v>
      </c>
      <c r="C132" t="s">
        <v>42</v>
      </c>
      <c r="D132" t="s">
        <v>21</v>
      </c>
      <c r="E132">
        <v>1740.92</v>
      </c>
      <c r="F132">
        <v>24</v>
      </c>
      <c r="G132" t="s">
        <v>29</v>
      </c>
      <c r="H132">
        <v>1345.67</v>
      </c>
      <c r="I132">
        <v>1367.76</v>
      </c>
      <c r="J132" t="s">
        <v>30</v>
      </c>
      <c r="K132">
        <v>0.06</v>
      </c>
      <c r="L132" t="s">
        <v>27</v>
      </c>
      <c r="M132" t="s">
        <v>19</v>
      </c>
      <c r="N132" t="s">
        <v>51</v>
      </c>
      <c r="O132">
        <f>Table2[[#This Row],[Unit_Cost]]*Table2[[#This Row],[Quantity_Sold]]</f>
        <v>32296.080000000002</v>
      </c>
      <c r="P132">
        <f t="shared" si="2"/>
        <v>-30555.160000000003</v>
      </c>
      <c r="Q132" s="3">
        <f>Table2[[#This Row],[Gross_Profit]]/Table2[[#This Row],[Sales_Amount]]</f>
        <v>-17.551156859591483</v>
      </c>
      <c r="R132" t="str">
        <f>TEXT(Table2[[#This Row],[Sale_Date]],"mmmm")</f>
        <v>January</v>
      </c>
      <c r="S132" s="4">
        <f>YEAR(Table2[[#This Row],[Sale_Date]])</f>
        <v>2023</v>
      </c>
    </row>
    <row r="133" spans="1:19" x14ac:dyDescent="0.35">
      <c r="A133">
        <v>1048</v>
      </c>
      <c r="B133" s="1">
        <v>45214</v>
      </c>
      <c r="C133" t="s">
        <v>33</v>
      </c>
      <c r="D133" t="s">
        <v>15</v>
      </c>
      <c r="E133">
        <v>4510.8599999999997</v>
      </c>
      <c r="F133">
        <v>42</v>
      </c>
      <c r="G133" t="s">
        <v>35</v>
      </c>
      <c r="H133">
        <v>3139.99</v>
      </c>
      <c r="I133">
        <v>3349.37</v>
      </c>
      <c r="J133" t="s">
        <v>17</v>
      </c>
      <c r="K133">
        <v>0.13</v>
      </c>
      <c r="L133" t="s">
        <v>31</v>
      </c>
      <c r="M133" t="s">
        <v>22</v>
      </c>
      <c r="N133" t="s">
        <v>53</v>
      </c>
      <c r="O133">
        <f>Table2[[#This Row],[Unit_Cost]]*Table2[[#This Row],[Quantity_Sold]]</f>
        <v>131879.57999999999</v>
      </c>
      <c r="P133">
        <f t="shared" si="2"/>
        <v>-127368.71999999999</v>
      </c>
      <c r="Q133" s="3">
        <f>Table2[[#This Row],[Gross_Profit]]/Table2[[#This Row],[Sales_Amount]]</f>
        <v>-28.236017078783203</v>
      </c>
      <c r="R133" t="str">
        <f>TEXT(Table2[[#This Row],[Sale_Date]],"mmmm")</f>
        <v>October</v>
      </c>
      <c r="S133" s="4">
        <f>YEAR(Table2[[#This Row],[Sale_Date]])</f>
        <v>2023</v>
      </c>
    </row>
    <row r="134" spans="1:19" x14ac:dyDescent="0.35">
      <c r="A134">
        <v>1023</v>
      </c>
      <c r="B134" s="1">
        <v>45105</v>
      </c>
      <c r="C134" t="s">
        <v>38</v>
      </c>
      <c r="D134" t="s">
        <v>34</v>
      </c>
      <c r="E134">
        <v>2170.94</v>
      </c>
      <c r="F134">
        <v>9</v>
      </c>
      <c r="G134" t="s">
        <v>29</v>
      </c>
      <c r="H134">
        <v>4155.46</v>
      </c>
      <c r="I134">
        <v>4273.6000000000004</v>
      </c>
      <c r="J134" t="s">
        <v>17</v>
      </c>
      <c r="K134">
        <v>0.25</v>
      </c>
      <c r="L134" t="s">
        <v>18</v>
      </c>
      <c r="M134" t="s">
        <v>22</v>
      </c>
      <c r="N134" t="s">
        <v>48</v>
      </c>
      <c r="O134">
        <f>Table2[[#This Row],[Unit_Cost]]*Table2[[#This Row],[Quantity_Sold]]</f>
        <v>37399.14</v>
      </c>
      <c r="P134">
        <f t="shared" si="2"/>
        <v>-35228.199999999997</v>
      </c>
      <c r="Q134" s="3">
        <f>Table2[[#This Row],[Gross_Profit]]/Table2[[#This Row],[Sales_Amount]]</f>
        <v>-16.227164269855454</v>
      </c>
      <c r="R134" t="str">
        <f>TEXT(Table2[[#This Row],[Sale_Date]],"mmmm")</f>
        <v>June</v>
      </c>
      <c r="S134" s="4">
        <f>YEAR(Table2[[#This Row],[Sale_Date]])</f>
        <v>2023</v>
      </c>
    </row>
    <row r="135" spans="1:19" x14ac:dyDescent="0.35">
      <c r="A135">
        <v>1062</v>
      </c>
      <c r="B135" s="1">
        <v>45051</v>
      </c>
      <c r="C135" t="s">
        <v>38</v>
      </c>
      <c r="D135" t="s">
        <v>25</v>
      </c>
      <c r="E135">
        <v>594.79</v>
      </c>
      <c r="F135">
        <v>26</v>
      </c>
      <c r="G135" t="s">
        <v>29</v>
      </c>
      <c r="H135">
        <v>992.17</v>
      </c>
      <c r="I135">
        <v>1263.49</v>
      </c>
      <c r="J135" t="s">
        <v>17</v>
      </c>
      <c r="K135">
        <v>0.25</v>
      </c>
      <c r="L135" t="s">
        <v>27</v>
      </c>
      <c r="M135" t="s">
        <v>22</v>
      </c>
      <c r="N135" t="s">
        <v>39</v>
      </c>
      <c r="O135">
        <f>Table2[[#This Row],[Unit_Cost]]*Table2[[#This Row],[Quantity_Sold]]</f>
        <v>25796.42</v>
      </c>
      <c r="P135">
        <f t="shared" si="2"/>
        <v>-25201.629999999997</v>
      </c>
      <c r="Q135" s="3">
        <f>Table2[[#This Row],[Gross_Profit]]/Table2[[#This Row],[Sales_Amount]]</f>
        <v>-42.370635014038569</v>
      </c>
      <c r="R135" t="str">
        <f>TEXT(Table2[[#This Row],[Sale_Date]],"mmmm")</f>
        <v>May</v>
      </c>
      <c r="S135" s="4">
        <f>YEAR(Table2[[#This Row],[Sale_Date]])</f>
        <v>2023</v>
      </c>
    </row>
    <row r="136" spans="1:19" x14ac:dyDescent="0.35">
      <c r="A136">
        <v>1088</v>
      </c>
      <c r="B136" s="1">
        <v>45279</v>
      </c>
      <c r="C136" t="s">
        <v>42</v>
      </c>
      <c r="D136" t="s">
        <v>34</v>
      </c>
      <c r="E136">
        <v>8452.1299999999992</v>
      </c>
      <c r="F136">
        <v>20</v>
      </c>
      <c r="G136" t="s">
        <v>29</v>
      </c>
      <c r="H136">
        <v>4590.24</v>
      </c>
      <c r="I136">
        <v>5088.28</v>
      </c>
      <c r="J136" t="s">
        <v>30</v>
      </c>
      <c r="K136">
        <v>0.16</v>
      </c>
      <c r="L136" t="s">
        <v>27</v>
      </c>
      <c r="M136" t="s">
        <v>22</v>
      </c>
      <c r="N136" t="s">
        <v>52</v>
      </c>
      <c r="O136">
        <f>Table2[[#This Row],[Unit_Cost]]*Table2[[#This Row],[Quantity_Sold]]</f>
        <v>91804.799999999988</v>
      </c>
      <c r="P136">
        <f t="shared" si="2"/>
        <v>-83352.669999999984</v>
      </c>
      <c r="Q136" s="3">
        <f>Table2[[#This Row],[Gross_Profit]]/Table2[[#This Row],[Sales_Amount]]</f>
        <v>-9.8617354442016385</v>
      </c>
      <c r="R136" t="str">
        <f>TEXT(Table2[[#This Row],[Sale_Date]],"mmmm")</f>
        <v>December</v>
      </c>
      <c r="S136" s="4">
        <f>YEAR(Table2[[#This Row],[Sale_Date]])</f>
        <v>2023</v>
      </c>
    </row>
    <row r="137" spans="1:19" x14ac:dyDescent="0.35">
      <c r="A137">
        <v>1037</v>
      </c>
      <c r="B137" s="1">
        <v>44949</v>
      </c>
      <c r="C137" t="s">
        <v>14</v>
      </c>
      <c r="D137" t="s">
        <v>15</v>
      </c>
      <c r="E137">
        <v>9813.81</v>
      </c>
      <c r="F137">
        <v>40</v>
      </c>
      <c r="G137" t="s">
        <v>29</v>
      </c>
      <c r="H137">
        <v>2790.11</v>
      </c>
      <c r="I137">
        <v>3192.37</v>
      </c>
      <c r="J137" t="s">
        <v>17</v>
      </c>
      <c r="K137">
        <v>0.26</v>
      </c>
      <c r="L137" t="s">
        <v>27</v>
      </c>
      <c r="M137" t="s">
        <v>19</v>
      </c>
      <c r="N137" t="s">
        <v>20</v>
      </c>
      <c r="O137">
        <f>Table2[[#This Row],[Unit_Cost]]*Table2[[#This Row],[Quantity_Sold]]</f>
        <v>111604.40000000001</v>
      </c>
      <c r="P137">
        <f t="shared" si="2"/>
        <v>-101790.59000000001</v>
      </c>
      <c r="Q137" s="3">
        <f>Table2[[#This Row],[Gross_Profit]]/Table2[[#This Row],[Sales_Amount]]</f>
        <v>-10.3721785932273</v>
      </c>
      <c r="R137" t="str">
        <f>TEXT(Table2[[#This Row],[Sale_Date]],"mmmm")</f>
        <v>January</v>
      </c>
      <c r="S137" s="4">
        <f>YEAR(Table2[[#This Row],[Sale_Date]])</f>
        <v>2023</v>
      </c>
    </row>
    <row r="138" spans="1:19" x14ac:dyDescent="0.35">
      <c r="A138">
        <v>1099</v>
      </c>
      <c r="B138" s="1">
        <v>44989</v>
      </c>
      <c r="C138" t="s">
        <v>24</v>
      </c>
      <c r="D138" t="s">
        <v>34</v>
      </c>
      <c r="E138">
        <v>7952.11</v>
      </c>
      <c r="F138">
        <v>10</v>
      </c>
      <c r="G138" t="s">
        <v>16</v>
      </c>
      <c r="H138">
        <v>1531.2</v>
      </c>
      <c r="I138">
        <v>1955.56</v>
      </c>
      <c r="J138" t="s">
        <v>30</v>
      </c>
      <c r="K138">
        <v>0</v>
      </c>
      <c r="L138" t="s">
        <v>31</v>
      </c>
      <c r="M138" t="s">
        <v>19</v>
      </c>
      <c r="N138" t="s">
        <v>50</v>
      </c>
      <c r="O138">
        <f>Table2[[#This Row],[Unit_Cost]]*Table2[[#This Row],[Quantity_Sold]]</f>
        <v>15312</v>
      </c>
      <c r="P138">
        <f t="shared" si="2"/>
        <v>-7359.89</v>
      </c>
      <c r="Q138" s="3">
        <f>Table2[[#This Row],[Gross_Profit]]/Table2[[#This Row],[Sales_Amount]]</f>
        <v>-0.92552668411277017</v>
      </c>
      <c r="R138" t="str">
        <f>TEXT(Table2[[#This Row],[Sale_Date]],"mmmm")</f>
        <v>March</v>
      </c>
      <c r="S138" s="4">
        <f>YEAR(Table2[[#This Row],[Sale_Date]])</f>
        <v>2023</v>
      </c>
    </row>
    <row r="139" spans="1:19" x14ac:dyDescent="0.35">
      <c r="A139">
        <v>1044</v>
      </c>
      <c r="B139" s="1">
        <v>45069</v>
      </c>
      <c r="C139" t="s">
        <v>14</v>
      </c>
      <c r="D139" t="s">
        <v>21</v>
      </c>
      <c r="E139">
        <v>8552.4699999999993</v>
      </c>
      <c r="F139">
        <v>19</v>
      </c>
      <c r="G139" t="s">
        <v>26</v>
      </c>
      <c r="H139">
        <v>2182.75</v>
      </c>
      <c r="I139">
        <v>2504.0299999999902</v>
      </c>
      <c r="J139" t="s">
        <v>30</v>
      </c>
      <c r="K139">
        <v>0.01</v>
      </c>
      <c r="L139" t="s">
        <v>27</v>
      </c>
      <c r="M139" t="s">
        <v>19</v>
      </c>
      <c r="N139" t="s">
        <v>23</v>
      </c>
      <c r="O139">
        <f>Table2[[#This Row],[Unit_Cost]]*Table2[[#This Row],[Quantity_Sold]]</f>
        <v>41472.25</v>
      </c>
      <c r="P139">
        <f t="shared" si="2"/>
        <v>-32919.78</v>
      </c>
      <c r="Q139" s="3">
        <f>Table2[[#This Row],[Gross_Profit]]/Table2[[#This Row],[Sales_Amount]]</f>
        <v>-3.8491546886455024</v>
      </c>
      <c r="R139" t="str">
        <f>TEXT(Table2[[#This Row],[Sale_Date]],"mmmm")</f>
        <v>May</v>
      </c>
      <c r="S139" s="4">
        <f>YEAR(Table2[[#This Row],[Sale_Date]])</f>
        <v>2023</v>
      </c>
    </row>
    <row r="140" spans="1:19" x14ac:dyDescent="0.35">
      <c r="A140">
        <v>1086</v>
      </c>
      <c r="B140" s="1">
        <v>45079</v>
      </c>
      <c r="C140" t="s">
        <v>14</v>
      </c>
      <c r="D140" t="s">
        <v>34</v>
      </c>
      <c r="E140">
        <v>2495.5700000000002</v>
      </c>
      <c r="F140">
        <v>3</v>
      </c>
      <c r="G140" t="s">
        <v>35</v>
      </c>
      <c r="H140">
        <v>1595.35</v>
      </c>
      <c r="I140">
        <v>1625.70999999999</v>
      </c>
      <c r="J140" t="s">
        <v>30</v>
      </c>
      <c r="K140">
        <v>0.27</v>
      </c>
      <c r="L140" t="s">
        <v>18</v>
      </c>
      <c r="M140" t="s">
        <v>19</v>
      </c>
      <c r="N140" t="s">
        <v>46</v>
      </c>
      <c r="O140">
        <f>Table2[[#This Row],[Unit_Cost]]*Table2[[#This Row],[Quantity_Sold]]</f>
        <v>4786.0499999999993</v>
      </c>
      <c r="P140">
        <f t="shared" si="2"/>
        <v>-2290.4799999999991</v>
      </c>
      <c r="Q140" s="3">
        <f>Table2[[#This Row],[Gross_Profit]]/Table2[[#This Row],[Sales_Amount]]</f>
        <v>-0.91781837415900935</v>
      </c>
      <c r="R140" t="str">
        <f>TEXT(Table2[[#This Row],[Sale_Date]],"mmmm")</f>
        <v>June</v>
      </c>
      <c r="S140" s="4">
        <f>YEAR(Table2[[#This Row],[Sale_Date]])</f>
        <v>2023</v>
      </c>
    </row>
    <row r="141" spans="1:19" x14ac:dyDescent="0.35">
      <c r="A141">
        <v>1091</v>
      </c>
      <c r="B141" s="1">
        <v>45071</v>
      </c>
      <c r="C141" t="s">
        <v>42</v>
      </c>
      <c r="D141" t="s">
        <v>15</v>
      </c>
      <c r="E141">
        <v>9610.2099999999991</v>
      </c>
      <c r="F141">
        <v>24</v>
      </c>
      <c r="G141" t="s">
        <v>29</v>
      </c>
      <c r="H141">
        <v>3639.3</v>
      </c>
      <c r="I141">
        <v>3750.63</v>
      </c>
      <c r="J141" t="s">
        <v>30</v>
      </c>
      <c r="K141">
        <v>0.23</v>
      </c>
      <c r="L141" t="s">
        <v>27</v>
      </c>
      <c r="M141" t="s">
        <v>22</v>
      </c>
      <c r="N141" t="s">
        <v>49</v>
      </c>
      <c r="O141">
        <f>Table2[[#This Row],[Unit_Cost]]*Table2[[#This Row],[Quantity_Sold]]</f>
        <v>87343.200000000012</v>
      </c>
      <c r="P141">
        <f t="shared" si="2"/>
        <v>-77732.99000000002</v>
      </c>
      <c r="Q141" s="3">
        <f>Table2[[#This Row],[Gross_Profit]]/Table2[[#This Row],[Sales_Amount]]</f>
        <v>-8.0885839123182564</v>
      </c>
      <c r="R141" t="str">
        <f>TEXT(Table2[[#This Row],[Sale_Date]],"mmmm")</f>
        <v>May</v>
      </c>
      <c r="S141" s="4">
        <f>YEAR(Table2[[#This Row],[Sale_Date]])</f>
        <v>2023</v>
      </c>
    </row>
    <row r="142" spans="1:19" x14ac:dyDescent="0.35">
      <c r="A142">
        <v>1035</v>
      </c>
      <c r="B142" s="1">
        <v>45151</v>
      </c>
      <c r="C142" t="s">
        <v>42</v>
      </c>
      <c r="D142" t="s">
        <v>21</v>
      </c>
      <c r="E142">
        <v>2049.56</v>
      </c>
      <c r="F142">
        <v>5</v>
      </c>
      <c r="G142" t="s">
        <v>29</v>
      </c>
      <c r="H142">
        <v>3991.69</v>
      </c>
      <c r="I142">
        <v>4454.97</v>
      </c>
      <c r="J142" t="s">
        <v>30</v>
      </c>
      <c r="K142">
        <v>0.14000000000000001</v>
      </c>
      <c r="L142" t="s">
        <v>31</v>
      </c>
      <c r="M142" t="s">
        <v>22</v>
      </c>
      <c r="N142" t="s">
        <v>51</v>
      </c>
      <c r="O142">
        <f>Table2[[#This Row],[Unit_Cost]]*Table2[[#This Row],[Quantity_Sold]]</f>
        <v>19958.45</v>
      </c>
      <c r="P142">
        <f t="shared" si="2"/>
        <v>-17908.89</v>
      </c>
      <c r="Q142" s="3">
        <f>Table2[[#This Row],[Gross_Profit]]/Table2[[#This Row],[Sales_Amount]]</f>
        <v>-8.7379193583012942</v>
      </c>
      <c r="R142" t="str">
        <f>TEXT(Table2[[#This Row],[Sale_Date]],"mmmm")</f>
        <v>August</v>
      </c>
      <c r="S142" s="4">
        <f>YEAR(Table2[[#This Row],[Sale_Date]])</f>
        <v>2023</v>
      </c>
    </row>
    <row r="143" spans="1:19" x14ac:dyDescent="0.35">
      <c r="A143">
        <v>1065</v>
      </c>
      <c r="B143" s="1">
        <v>45235</v>
      </c>
      <c r="C143" t="s">
        <v>42</v>
      </c>
      <c r="D143" t="s">
        <v>34</v>
      </c>
      <c r="E143">
        <v>9519.16</v>
      </c>
      <c r="F143">
        <v>3</v>
      </c>
      <c r="G143" t="s">
        <v>16</v>
      </c>
      <c r="H143">
        <v>4173.04</v>
      </c>
      <c r="I143">
        <v>4362.4399999999996</v>
      </c>
      <c r="J143" t="s">
        <v>30</v>
      </c>
      <c r="K143">
        <v>0.23</v>
      </c>
      <c r="L143" t="s">
        <v>27</v>
      </c>
      <c r="M143" t="s">
        <v>22</v>
      </c>
      <c r="N143" t="s">
        <v>52</v>
      </c>
      <c r="O143">
        <f>Table2[[#This Row],[Unit_Cost]]*Table2[[#This Row],[Quantity_Sold]]</f>
        <v>12519.119999999999</v>
      </c>
      <c r="P143">
        <f t="shared" si="2"/>
        <v>-2999.9599999999991</v>
      </c>
      <c r="Q143" s="3">
        <f>Table2[[#This Row],[Gross_Profit]]/Table2[[#This Row],[Sales_Amount]]</f>
        <v>-0.31514965606208944</v>
      </c>
      <c r="R143" t="str">
        <f>TEXT(Table2[[#This Row],[Sale_Date]],"mmmm")</f>
        <v>November</v>
      </c>
      <c r="S143" s="4">
        <f>YEAR(Table2[[#This Row],[Sale_Date]])</f>
        <v>2023</v>
      </c>
    </row>
    <row r="144" spans="1:19" x14ac:dyDescent="0.3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c r="O144">
        <f>Table2[[#This Row],[Unit_Cost]]*Table2[[#This Row],[Quantity_Sold]]</f>
        <v>133097.85</v>
      </c>
      <c r="P144">
        <f t="shared" si="2"/>
        <v>-123149.14000000001</v>
      </c>
      <c r="Q144" s="3">
        <f>Table2[[#This Row],[Gross_Profit]]/Table2[[#This Row],[Sales_Amount]]</f>
        <v>-12.378402828105354</v>
      </c>
      <c r="R144" t="str">
        <f>TEXT(Table2[[#This Row],[Sale_Date]],"mmmm")</f>
        <v>April</v>
      </c>
      <c r="S144" s="4">
        <f>YEAR(Table2[[#This Row],[Sale_Date]])</f>
        <v>2023</v>
      </c>
    </row>
    <row r="145" spans="1:19" x14ac:dyDescent="0.35">
      <c r="A145">
        <v>1047</v>
      </c>
      <c r="B145" s="1">
        <v>45030</v>
      </c>
      <c r="C145" t="s">
        <v>38</v>
      </c>
      <c r="D145" t="s">
        <v>21</v>
      </c>
      <c r="E145">
        <v>7146.06</v>
      </c>
      <c r="F145">
        <v>16</v>
      </c>
      <c r="G145" t="s">
        <v>29</v>
      </c>
      <c r="H145">
        <v>3966.86</v>
      </c>
      <c r="I145">
        <v>4321.04</v>
      </c>
      <c r="J145" t="s">
        <v>17</v>
      </c>
      <c r="K145">
        <v>0.23</v>
      </c>
      <c r="L145" t="s">
        <v>31</v>
      </c>
      <c r="M145" t="s">
        <v>22</v>
      </c>
      <c r="N145" t="s">
        <v>41</v>
      </c>
      <c r="O145">
        <f>Table2[[#This Row],[Unit_Cost]]*Table2[[#This Row],[Quantity_Sold]]</f>
        <v>63469.760000000002</v>
      </c>
      <c r="P145">
        <f t="shared" si="2"/>
        <v>-56323.700000000004</v>
      </c>
      <c r="Q145" s="3">
        <f>Table2[[#This Row],[Gross_Profit]]/Table2[[#This Row],[Sales_Amount]]</f>
        <v>-7.8817838081404297</v>
      </c>
      <c r="R145" t="str">
        <f>TEXT(Table2[[#This Row],[Sale_Date]],"mmmm")</f>
        <v>April</v>
      </c>
      <c r="S145" s="4">
        <f>YEAR(Table2[[#This Row],[Sale_Date]])</f>
        <v>2023</v>
      </c>
    </row>
    <row r="146" spans="1:19" x14ac:dyDescent="0.35">
      <c r="A146">
        <v>1078</v>
      </c>
      <c r="B146" s="1">
        <v>44965</v>
      </c>
      <c r="C146" t="s">
        <v>42</v>
      </c>
      <c r="D146" t="s">
        <v>25</v>
      </c>
      <c r="E146">
        <v>9813.32</v>
      </c>
      <c r="F146">
        <v>49</v>
      </c>
      <c r="G146" t="s">
        <v>16</v>
      </c>
      <c r="H146">
        <v>3026.85</v>
      </c>
      <c r="I146">
        <v>3183.58</v>
      </c>
      <c r="J146" t="s">
        <v>17</v>
      </c>
      <c r="K146">
        <v>0.25</v>
      </c>
      <c r="L146" t="s">
        <v>18</v>
      </c>
      <c r="M146" t="s">
        <v>22</v>
      </c>
      <c r="N146" t="s">
        <v>43</v>
      </c>
      <c r="O146">
        <f>Table2[[#This Row],[Unit_Cost]]*Table2[[#This Row],[Quantity_Sold]]</f>
        <v>148315.65</v>
      </c>
      <c r="P146">
        <f t="shared" si="2"/>
        <v>-138502.32999999999</v>
      </c>
      <c r="Q146" s="3">
        <f>Table2[[#This Row],[Gross_Profit]]/Table2[[#This Row],[Sales_Amount]]</f>
        <v>-14.11370769525502</v>
      </c>
      <c r="R146" t="str">
        <f>TEXT(Table2[[#This Row],[Sale_Date]],"mmmm")</f>
        <v>February</v>
      </c>
      <c r="S146" s="4">
        <f>YEAR(Table2[[#This Row],[Sale_Date]])</f>
        <v>2023</v>
      </c>
    </row>
    <row r="147" spans="1:19" x14ac:dyDescent="0.35">
      <c r="A147">
        <v>1003</v>
      </c>
      <c r="B147" s="1">
        <v>45124</v>
      </c>
      <c r="C147" t="s">
        <v>38</v>
      </c>
      <c r="D147" t="s">
        <v>21</v>
      </c>
      <c r="E147">
        <v>5738.44</v>
      </c>
      <c r="F147">
        <v>15</v>
      </c>
      <c r="G147" t="s">
        <v>35</v>
      </c>
      <c r="H147">
        <v>1729.14</v>
      </c>
      <c r="I147">
        <v>1870.88</v>
      </c>
      <c r="J147" t="s">
        <v>17</v>
      </c>
      <c r="K147">
        <v>0.23</v>
      </c>
      <c r="L147" t="s">
        <v>18</v>
      </c>
      <c r="M147" t="s">
        <v>19</v>
      </c>
      <c r="N147" t="s">
        <v>41</v>
      </c>
      <c r="O147">
        <f>Table2[[#This Row],[Unit_Cost]]*Table2[[#This Row],[Quantity_Sold]]</f>
        <v>25937.100000000002</v>
      </c>
      <c r="P147">
        <f t="shared" si="2"/>
        <v>-20198.660000000003</v>
      </c>
      <c r="Q147" s="3">
        <f>Table2[[#This Row],[Gross_Profit]]/Table2[[#This Row],[Sales_Amount]]</f>
        <v>-3.5198869379134408</v>
      </c>
      <c r="R147" t="str">
        <f>TEXT(Table2[[#This Row],[Sale_Date]],"mmmm")</f>
        <v>July</v>
      </c>
      <c r="S147" s="4">
        <f>YEAR(Table2[[#This Row],[Sale_Date]])</f>
        <v>2023</v>
      </c>
    </row>
    <row r="148" spans="1:19" x14ac:dyDescent="0.35">
      <c r="A148">
        <v>1001</v>
      </c>
      <c r="B148" s="1">
        <v>45060</v>
      </c>
      <c r="C148" t="s">
        <v>38</v>
      </c>
      <c r="D148" t="s">
        <v>25</v>
      </c>
      <c r="E148">
        <v>2669.46</v>
      </c>
      <c r="F148">
        <v>35</v>
      </c>
      <c r="G148" t="s">
        <v>35</v>
      </c>
      <c r="H148">
        <v>2745.75</v>
      </c>
      <c r="I148">
        <v>3244.76</v>
      </c>
      <c r="J148" t="s">
        <v>30</v>
      </c>
      <c r="K148">
        <v>0.05</v>
      </c>
      <c r="L148" t="s">
        <v>27</v>
      </c>
      <c r="M148" t="s">
        <v>19</v>
      </c>
      <c r="N148" t="s">
        <v>39</v>
      </c>
      <c r="O148">
        <f>Table2[[#This Row],[Unit_Cost]]*Table2[[#This Row],[Quantity_Sold]]</f>
        <v>96101.25</v>
      </c>
      <c r="P148">
        <f t="shared" si="2"/>
        <v>-93431.79</v>
      </c>
      <c r="Q148" s="3">
        <f>Table2[[#This Row],[Gross_Profit]]/Table2[[#This Row],[Sales_Amount]]</f>
        <v>-35.000258479242987</v>
      </c>
      <c r="R148" t="str">
        <f>TEXT(Table2[[#This Row],[Sale_Date]],"mmmm")</f>
        <v>May</v>
      </c>
      <c r="S148" s="4">
        <f>YEAR(Table2[[#This Row],[Sale_Date]])</f>
        <v>2023</v>
      </c>
    </row>
    <row r="149" spans="1:19" x14ac:dyDescent="0.35">
      <c r="A149">
        <v>1005</v>
      </c>
      <c r="B149" s="1">
        <v>44993</v>
      </c>
      <c r="C149" t="s">
        <v>42</v>
      </c>
      <c r="D149" t="s">
        <v>15</v>
      </c>
      <c r="E149">
        <v>4426.26</v>
      </c>
      <c r="F149">
        <v>12</v>
      </c>
      <c r="G149" t="s">
        <v>29</v>
      </c>
      <c r="H149">
        <v>253.29</v>
      </c>
      <c r="I149">
        <v>683.78</v>
      </c>
      <c r="J149" t="s">
        <v>30</v>
      </c>
      <c r="K149">
        <v>0.25</v>
      </c>
      <c r="L149" t="s">
        <v>31</v>
      </c>
      <c r="M149" t="s">
        <v>19</v>
      </c>
      <c r="N149" t="s">
        <v>49</v>
      </c>
      <c r="O149">
        <f>Table2[[#This Row],[Unit_Cost]]*Table2[[#This Row],[Quantity_Sold]]</f>
        <v>3039.48</v>
      </c>
      <c r="P149">
        <f t="shared" si="2"/>
        <v>1386.7800000000002</v>
      </c>
      <c r="Q149" s="3">
        <f>Table2[[#This Row],[Gross_Profit]]/Table2[[#This Row],[Sales_Amount]]</f>
        <v>0.31330739721570811</v>
      </c>
      <c r="R149" t="str">
        <f>TEXT(Table2[[#This Row],[Sale_Date]],"mmmm")</f>
        <v>March</v>
      </c>
      <c r="S149" s="4">
        <f>YEAR(Table2[[#This Row],[Sale_Date]])</f>
        <v>2023</v>
      </c>
    </row>
    <row r="150" spans="1:19" x14ac:dyDescent="0.35">
      <c r="A150">
        <v>1090</v>
      </c>
      <c r="B150" s="1">
        <v>45105</v>
      </c>
      <c r="C150" t="s">
        <v>33</v>
      </c>
      <c r="D150" t="s">
        <v>15</v>
      </c>
      <c r="E150">
        <v>5976.25</v>
      </c>
      <c r="F150">
        <v>41</v>
      </c>
      <c r="G150" t="s">
        <v>29</v>
      </c>
      <c r="H150">
        <v>3736.88</v>
      </c>
      <c r="I150">
        <v>3946.77</v>
      </c>
      <c r="J150" t="s">
        <v>17</v>
      </c>
      <c r="K150">
        <v>0.06</v>
      </c>
      <c r="L150" t="s">
        <v>31</v>
      </c>
      <c r="M150" t="s">
        <v>19</v>
      </c>
      <c r="N150" t="s">
        <v>53</v>
      </c>
      <c r="O150">
        <f>Table2[[#This Row],[Unit_Cost]]*Table2[[#This Row],[Quantity_Sold]]</f>
        <v>153212.08000000002</v>
      </c>
      <c r="P150">
        <f t="shared" si="2"/>
        <v>-147235.83000000002</v>
      </c>
      <c r="Q150" s="3">
        <f>Table2[[#This Row],[Gross_Profit]]/Table2[[#This Row],[Sales_Amount]]</f>
        <v>-24.636825768667645</v>
      </c>
      <c r="R150" t="str">
        <f>TEXT(Table2[[#This Row],[Sale_Date]],"mmmm")</f>
        <v>June</v>
      </c>
      <c r="S150" s="4">
        <f>YEAR(Table2[[#This Row],[Sale_Date]])</f>
        <v>2023</v>
      </c>
    </row>
    <row r="151" spans="1:19" x14ac:dyDescent="0.35">
      <c r="A151">
        <v>1014</v>
      </c>
      <c r="B151" s="1">
        <v>44968</v>
      </c>
      <c r="C151" t="s">
        <v>24</v>
      </c>
      <c r="D151" t="s">
        <v>21</v>
      </c>
      <c r="E151">
        <v>823.51</v>
      </c>
      <c r="F151">
        <v>44</v>
      </c>
      <c r="G151" t="s">
        <v>26</v>
      </c>
      <c r="H151">
        <v>2257.48</v>
      </c>
      <c r="I151">
        <v>2747.81</v>
      </c>
      <c r="J151" t="s">
        <v>17</v>
      </c>
      <c r="K151">
        <v>0.27</v>
      </c>
      <c r="L151" t="s">
        <v>18</v>
      </c>
      <c r="M151" t="s">
        <v>19</v>
      </c>
      <c r="N151" t="s">
        <v>47</v>
      </c>
      <c r="O151">
        <f>Table2[[#This Row],[Unit_Cost]]*Table2[[#This Row],[Quantity_Sold]]</f>
        <v>99329.12</v>
      </c>
      <c r="P151">
        <f t="shared" si="2"/>
        <v>-98505.61</v>
      </c>
      <c r="Q151" s="3">
        <f>Table2[[#This Row],[Gross_Profit]]/Table2[[#This Row],[Sales_Amount]]</f>
        <v>-119.61677453825698</v>
      </c>
      <c r="R151" t="str">
        <f>TEXT(Table2[[#This Row],[Sale_Date]],"mmmm")</f>
        <v>February</v>
      </c>
      <c r="S151" s="4">
        <f>YEAR(Table2[[#This Row],[Sale_Date]])</f>
        <v>2023</v>
      </c>
    </row>
    <row r="152" spans="1:19" x14ac:dyDescent="0.35">
      <c r="A152">
        <v>1027</v>
      </c>
      <c r="B152" s="1">
        <v>44941</v>
      </c>
      <c r="C152" t="s">
        <v>14</v>
      </c>
      <c r="D152" t="s">
        <v>21</v>
      </c>
      <c r="E152">
        <v>6261.2</v>
      </c>
      <c r="F152">
        <v>26</v>
      </c>
      <c r="G152" t="s">
        <v>26</v>
      </c>
      <c r="H152">
        <v>149.11000000000001</v>
      </c>
      <c r="I152">
        <v>477.67</v>
      </c>
      <c r="J152" t="s">
        <v>17</v>
      </c>
      <c r="K152">
        <v>0.14000000000000001</v>
      </c>
      <c r="L152" t="s">
        <v>18</v>
      </c>
      <c r="M152" t="s">
        <v>22</v>
      </c>
      <c r="N152" t="s">
        <v>23</v>
      </c>
      <c r="O152">
        <f>Table2[[#This Row],[Unit_Cost]]*Table2[[#This Row],[Quantity_Sold]]</f>
        <v>3876.8600000000006</v>
      </c>
      <c r="P152">
        <f t="shared" si="2"/>
        <v>2384.3399999999992</v>
      </c>
      <c r="Q152" s="3">
        <f>Table2[[#This Row],[Gross_Profit]]/Table2[[#This Row],[Sales_Amount]]</f>
        <v>0.38081198492301782</v>
      </c>
      <c r="R152" t="str">
        <f>TEXT(Table2[[#This Row],[Sale_Date]],"mmmm")</f>
        <v>January</v>
      </c>
      <c r="S152" s="4">
        <f>YEAR(Table2[[#This Row],[Sale_Date]])</f>
        <v>2023</v>
      </c>
    </row>
    <row r="153" spans="1:19" x14ac:dyDescent="0.35">
      <c r="A153">
        <v>1009</v>
      </c>
      <c r="B153" s="1">
        <v>45037</v>
      </c>
      <c r="C153" t="s">
        <v>38</v>
      </c>
      <c r="D153" t="s">
        <v>15</v>
      </c>
      <c r="E153">
        <v>9813.66</v>
      </c>
      <c r="F153">
        <v>47</v>
      </c>
      <c r="G153" t="s">
        <v>29</v>
      </c>
      <c r="H153">
        <v>359.41</v>
      </c>
      <c r="I153">
        <v>733</v>
      </c>
      <c r="J153" t="s">
        <v>17</v>
      </c>
      <c r="K153">
        <v>0.2</v>
      </c>
      <c r="L153" t="s">
        <v>27</v>
      </c>
      <c r="M153" t="s">
        <v>22</v>
      </c>
      <c r="N153" t="s">
        <v>40</v>
      </c>
      <c r="O153">
        <f>Table2[[#This Row],[Unit_Cost]]*Table2[[#This Row],[Quantity_Sold]]</f>
        <v>16892.27</v>
      </c>
      <c r="P153">
        <f t="shared" si="2"/>
        <v>-7078.6100000000006</v>
      </c>
      <c r="Q153" s="3">
        <f>Table2[[#This Row],[Gross_Profit]]/Table2[[#This Row],[Sales_Amount]]</f>
        <v>-0.72130173655904128</v>
      </c>
      <c r="R153" t="str">
        <f>TEXT(Table2[[#This Row],[Sale_Date]],"mmmm")</f>
        <v>April</v>
      </c>
      <c r="S153" s="4">
        <f>YEAR(Table2[[#This Row],[Sale_Date]])</f>
        <v>2023</v>
      </c>
    </row>
    <row r="154" spans="1:19" x14ac:dyDescent="0.35">
      <c r="A154">
        <v>1079</v>
      </c>
      <c r="B154" s="1">
        <v>45083</v>
      </c>
      <c r="C154" t="s">
        <v>24</v>
      </c>
      <c r="D154" t="s">
        <v>25</v>
      </c>
      <c r="E154">
        <v>1982.07</v>
      </c>
      <c r="F154">
        <v>34</v>
      </c>
      <c r="G154" t="s">
        <v>16</v>
      </c>
      <c r="H154">
        <v>1967.96</v>
      </c>
      <c r="I154">
        <v>1993.4</v>
      </c>
      <c r="J154" t="s">
        <v>17</v>
      </c>
      <c r="K154">
        <v>0.15</v>
      </c>
      <c r="L154" t="s">
        <v>31</v>
      </c>
      <c r="M154" t="s">
        <v>19</v>
      </c>
      <c r="N154" t="s">
        <v>28</v>
      </c>
      <c r="O154">
        <f>Table2[[#This Row],[Unit_Cost]]*Table2[[#This Row],[Quantity_Sold]]</f>
        <v>66910.64</v>
      </c>
      <c r="P154">
        <f t="shared" si="2"/>
        <v>-64928.57</v>
      </c>
      <c r="Q154" s="3">
        <f>Table2[[#This Row],[Gross_Profit]]/Table2[[#This Row],[Sales_Amount]]</f>
        <v>-32.757960112407737</v>
      </c>
      <c r="R154" t="str">
        <f>TEXT(Table2[[#This Row],[Sale_Date]],"mmmm")</f>
        <v>June</v>
      </c>
      <c r="S154" s="4">
        <f>YEAR(Table2[[#This Row],[Sale_Date]])</f>
        <v>2023</v>
      </c>
    </row>
    <row r="155" spans="1:19" x14ac:dyDescent="0.35">
      <c r="A155">
        <v>1015</v>
      </c>
      <c r="B155" s="1">
        <v>45215</v>
      </c>
      <c r="C155" t="s">
        <v>33</v>
      </c>
      <c r="D155" t="s">
        <v>15</v>
      </c>
      <c r="E155">
        <v>7946.69</v>
      </c>
      <c r="F155">
        <v>23</v>
      </c>
      <c r="G155" t="s">
        <v>26</v>
      </c>
      <c r="H155">
        <v>2937.94</v>
      </c>
      <c r="I155">
        <v>3007.53</v>
      </c>
      <c r="J155" t="s">
        <v>17</v>
      </c>
      <c r="K155">
        <v>0.03</v>
      </c>
      <c r="L155" t="s">
        <v>18</v>
      </c>
      <c r="M155" t="s">
        <v>22</v>
      </c>
      <c r="N155" t="s">
        <v>53</v>
      </c>
      <c r="O155">
        <f>Table2[[#This Row],[Unit_Cost]]*Table2[[#This Row],[Quantity_Sold]]</f>
        <v>67572.62</v>
      </c>
      <c r="P155">
        <f t="shared" si="2"/>
        <v>-59625.929999999993</v>
      </c>
      <c r="Q155" s="3">
        <f>Table2[[#This Row],[Gross_Profit]]/Table2[[#This Row],[Sales_Amount]]</f>
        <v>-7.5032409720273465</v>
      </c>
      <c r="R155" t="str">
        <f>TEXT(Table2[[#This Row],[Sale_Date]],"mmmm")</f>
        <v>October</v>
      </c>
      <c r="S155" s="4">
        <f>YEAR(Table2[[#This Row],[Sale_Date]])</f>
        <v>2023</v>
      </c>
    </row>
    <row r="156" spans="1:19" x14ac:dyDescent="0.35">
      <c r="A156">
        <v>1090</v>
      </c>
      <c r="B156" s="1">
        <v>45157</v>
      </c>
      <c r="C156" t="s">
        <v>14</v>
      </c>
      <c r="D156" t="s">
        <v>21</v>
      </c>
      <c r="E156">
        <v>9088.2000000000007</v>
      </c>
      <c r="F156">
        <v>31</v>
      </c>
      <c r="G156" t="s">
        <v>29</v>
      </c>
      <c r="H156">
        <v>2347.81</v>
      </c>
      <c r="I156">
        <v>2668.02</v>
      </c>
      <c r="J156" t="s">
        <v>17</v>
      </c>
      <c r="K156">
        <v>0.09</v>
      </c>
      <c r="L156" t="s">
        <v>27</v>
      </c>
      <c r="M156" t="s">
        <v>22</v>
      </c>
      <c r="N156" t="s">
        <v>23</v>
      </c>
      <c r="O156">
        <f>Table2[[#This Row],[Unit_Cost]]*Table2[[#This Row],[Quantity_Sold]]</f>
        <v>72782.11</v>
      </c>
      <c r="P156">
        <f t="shared" si="2"/>
        <v>-63693.91</v>
      </c>
      <c r="Q156" s="3">
        <f>Table2[[#This Row],[Gross_Profit]]/Table2[[#This Row],[Sales_Amount]]</f>
        <v>-7.0084186087454059</v>
      </c>
      <c r="R156" t="str">
        <f>TEXT(Table2[[#This Row],[Sale_Date]],"mmmm")</f>
        <v>August</v>
      </c>
      <c r="S156" s="4">
        <f>YEAR(Table2[[#This Row],[Sale_Date]])</f>
        <v>2023</v>
      </c>
    </row>
    <row r="157" spans="1:19" x14ac:dyDescent="0.35">
      <c r="A157">
        <v>1042</v>
      </c>
      <c r="B157" s="1">
        <v>45083</v>
      </c>
      <c r="C157" t="s">
        <v>14</v>
      </c>
      <c r="D157" t="s">
        <v>15</v>
      </c>
      <c r="E157">
        <v>9442.65</v>
      </c>
      <c r="F157">
        <v>20</v>
      </c>
      <c r="G157" t="s">
        <v>26</v>
      </c>
      <c r="H157">
        <v>3115.06</v>
      </c>
      <c r="I157">
        <v>3565.58</v>
      </c>
      <c r="J157" t="s">
        <v>17</v>
      </c>
      <c r="K157">
        <v>0.3</v>
      </c>
      <c r="L157" t="s">
        <v>31</v>
      </c>
      <c r="M157" t="s">
        <v>22</v>
      </c>
      <c r="N157" t="s">
        <v>20</v>
      </c>
      <c r="O157">
        <f>Table2[[#This Row],[Unit_Cost]]*Table2[[#This Row],[Quantity_Sold]]</f>
        <v>62301.2</v>
      </c>
      <c r="P157">
        <f t="shared" si="2"/>
        <v>-52858.549999999996</v>
      </c>
      <c r="Q157" s="3">
        <f>Table2[[#This Row],[Gross_Profit]]/Table2[[#This Row],[Sales_Amount]]</f>
        <v>-5.5978512387941946</v>
      </c>
      <c r="R157" t="str">
        <f>TEXT(Table2[[#This Row],[Sale_Date]],"mmmm")</f>
        <v>June</v>
      </c>
      <c r="S157" s="4">
        <f>YEAR(Table2[[#This Row],[Sale_Date]])</f>
        <v>2023</v>
      </c>
    </row>
    <row r="158" spans="1:19" x14ac:dyDescent="0.35">
      <c r="A158">
        <v>1077</v>
      </c>
      <c r="B158" s="1">
        <v>44964</v>
      </c>
      <c r="C158" t="s">
        <v>38</v>
      </c>
      <c r="D158" t="s">
        <v>21</v>
      </c>
      <c r="E158">
        <v>9605.34</v>
      </c>
      <c r="F158">
        <v>12</v>
      </c>
      <c r="G158" t="s">
        <v>29</v>
      </c>
      <c r="H158">
        <v>2427.46</v>
      </c>
      <c r="I158">
        <v>2743.09</v>
      </c>
      <c r="J158" t="s">
        <v>30</v>
      </c>
      <c r="K158">
        <v>0.28999999999999998</v>
      </c>
      <c r="L158" t="s">
        <v>31</v>
      </c>
      <c r="M158" t="s">
        <v>22</v>
      </c>
      <c r="N158" t="s">
        <v>41</v>
      </c>
      <c r="O158">
        <f>Table2[[#This Row],[Unit_Cost]]*Table2[[#This Row],[Quantity_Sold]]</f>
        <v>29129.52</v>
      </c>
      <c r="P158">
        <f t="shared" si="2"/>
        <v>-19524.18</v>
      </c>
      <c r="Q158" s="3">
        <f>Table2[[#This Row],[Gross_Profit]]/Table2[[#This Row],[Sales_Amount]]</f>
        <v>-2.0326380950596232</v>
      </c>
      <c r="R158" t="str">
        <f>TEXT(Table2[[#This Row],[Sale_Date]],"mmmm")</f>
        <v>February</v>
      </c>
      <c r="S158" s="4">
        <f>YEAR(Table2[[#This Row],[Sale_Date]])</f>
        <v>2023</v>
      </c>
    </row>
    <row r="159" spans="1:19" x14ac:dyDescent="0.35">
      <c r="A159">
        <v>1051</v>
      </c>
      <c r="B159" s="1">
        <v>45023</v>
      </c>
      <c r="C159" t="s">
        <v>42</v>
      </c>
      <c r="D159" t="s">
        <v>21</v>
      </c>
      <c r="E159">
        <v>5262.45</v>
      </c>
      <c r="F159">
        <v>23</v>
      </c>
      <c r="G159" t="s">
        <v>35</v>
      </c>
      <c r="H159">
        <v>3325.43</v>
      </c>
      <c r="I159">
        <v>3401.1</v>
      </c>
      <c r="J159" t="s">
        <v>30</v>
      </c>
      <c r="K159">
        <v>0.1</v>
      </c>
      <c r="L159" t="s">
        <v>18</v>
      </c>
      <c r="M159" t="s">
        <v>19</v>
      </c>
      <c r="N159" t="s">
        <v>51</v>
      </c>
      <c r="O159">
        <f>Table2[[#This Row],[Unit_Cost]]*Table2[[#This Row],[Quantity_Sold]]</f>
        <v>76484.89</v>
      </c>
      <c r="P159">
        <f t="shared" si="2"/>
        <v>-71222.44</v>
      </c>
      <c r="Q159" s="3">
        <f>Table2[[#This Row],[Gross_Profit]]/Table2[[#This Row],[Sales_Amount]]</f>
        <v>-13.534083934289162</v>
      </c>
      <c r="R159" t="str">
        <f>TEXT(Table2[[#This Row],[Sale_Date]],"mmmm")</f>
        <v>April</v>
      </c>
      <c r="S159" s="4">
        <f>YEAR(Table2[[#This Row],[Sale_Date]])</f>
        <v>2023</v>
      </c>
    </row>
    <row r="160" spans="1:19" x14ac:dyDescent="0.35">
      <c r="A160">
        <v>1063</v>
      </c>
      <c r="B160" s="1">
        <v>45215</v>
      </c>
      <c r="C160" t="s">
        <v>33</v>
      </c>
      <c r="D160" t="s">
        <v>15</v>
      </c>
      <c r="E160">
        <v>9775.35</v>
      </c>
      <c r="F160">
        <v>4</v>
      </c>
      <c r="G160" t="s">
        <v>29</v>
      </c>
      <c r="H160">
        <v>1134.67</v>
      </c>
      <c r="I160">
        <v>1201.3900000000001</v>
      </c>
      <c r="J160" t="s">
        <v>30</v>
      </c>
      <c r="K160">
        <v>0.3</v>
      </c>
      <c r="L160" t="s">
        <v>27</v>
      </c>
      <c r="M160" t="s">
        <v>22</v>
      </c>
      <c r="N160" t="s">
        <v>53</v>
      </c>
      <c r="O160">
        <f>Table2[[#This Row],[Unit_Cost]]*Table2[[#This Row],[Quantity_Sold]]</f>
        <v>4538.68</v>
      </c>
      <c r="P160">
        <f t="shared" si="2"/>
        <v>5236.67</v>
      </c>
      <c r="Q160" s="3">
        <f>Table2[[#This Row],[Gross_Profit]]/Table2[[#This Row],[Sales_Amount]]</f>
        <v>0.53570153498340212</v>
      </c>
      <c r="R160" t="str">
        <f>TEXT(Table2[[#This Row],[Sale_Date]],"mmmm")</f>
        <v>October</v>
      </c>
      <c r="S160" s="4">
        <f>YEAR(Table2[[#This Row],[Sale_Date]])</f>
        <v>2023</v>
      </c>
    </row>
    <row r="161" spans="1:19" x14ac:dyDescent="0.35">
      <c r="A161">
        <v>1096</v>
      </c>
      <c r="B161" s="1">
        <v>45180</v>
      </c>
      <c r="C161" t="s">
        <v>38</v>
      </c>
      <c r="D161" t="s">
        <v>25</v>
      </c>
      <c r="E161">
        <v>7597.37</v>
      </c>
      <c r="F161">
        <v>23</v>
      </c>
      <c r="G161" t="s">
        <v>35</v>
      </c>
      <c r="H161">
        <v>608.57000000000005</v>
      </c>
      <c r="I161">
        <v>1032.22</v>
      </c>
      <c r="J161" t="s">
        <v>30</v>
      </c>
      <c r="K161">
        <v>0.25</v>
      </c>
      <c r="L161" t="s">
        <v>18</v>
      </c>
      <c r="M161" t="s">
        <v>22</v>
      </c>
      <c r="N161" t="s">
        <v>39</v>
      </c>
      <c r="O161">
        <f>Table2[[#This Row],[Unit_Cost]]*Table2[[#This Row],[Quantity_Sold]]</f>
        <v>13997.11</v>
      </c>
      <c r="P161">
        <f t="shared" si="2"/>
        <v>-6399.7400000000007</v>
      </c>
      <c r="Q161" s="3">
        <f>Table2[[#This Row],[Gross_Profit]]/Table2[[#This Row],[Sales_Amount]]</f>
        <v>-0.8423625544102763</v>
      </c>
      <c r="R161" t="str">
        <f>TEXT(Table2[[#This Row],[Sale_Date]],"mmmm")</f>
        <v>September</v>
      </c>
      <c r="S161" s="4">
        <f>YEAR(Table2[[#This Row],[Sale_Date]])</f>
        <v>2023</v>
      </c>
    </row>
    <row r="162" spans="1:19" x14ac:dyDescent="0.35">
      <c r="A162">
        <v>1052</v>
      </c>
      <c r="B162" s="1">
        <v>45122</v>
      </c>
      <c r="C162" t="s">
        <v>33</v>
      </c>
      <c r="D162" t="s">
        <v>34</v>
      </c>
      <c r="E162">
        <v>1700.55</v>
      </c>
      <c r="F162">
        <v>48</v>
      </c>
      <c r="G162" t="s">
        <v>26</v>
      </c>
      <c r="H162">
        <v>3002.35</v>
      </c>
      <c r="I162">
        <v>3080.61</v>
      </c>
      <c r="J162" t="s">
        <v>17</v>
      </c>
      <c r="K162">
        <v>0.18</v>
      </c>
      <c r="L162" t="s">
        <v>27</v>
      </c>
      <c r="M162" t="s">
        <v>22</v>
      </c>
      <c r="N162" t="s">
        <v>36</v>
      </c>
      <c r="O162">
        <f>Table2[[#This Row],[Unit_Cost]]*Table2[[#This Row],[Quantity_Sold]]</f>
        <v>144112.79999999999</v>
      </c>
      <c r="P162">
        <f t="shared" si="2"/>
        <v>-142412.25</v>
      </c>
      <c r="Q162" s="3">
        <f>Table2[[#This Row],[Gross_Profit]]/Table2[[#This Row],[Sales_Amount]]</f>
        <v>-83.74481785304755</v>
      </c>
      <c r="R162" t="str">
        <f>TEXT(Table2[[#This Row],[Sale_Date]],"mmmm")</f>
        <v>July</v>
      </c>
      <c r="S162" s="4">
        <f>YEAR(Table2[[#This Row],[Sale_Date]])</f>
        <v>2023</v>
      </c>
    </row>
    <row r="163" spans="1:19" x14ac:dyDescent="0.35">
      <c r="A163">
        <v>1096</v>
      </c>
      <c r="B163" s="1">
        <v>45012</v>
      </c>
      <c r="C163" t="s">
        <v>42</v>
      </c>
      <c r="D163" t="s">
        <v>15</v>
      </c>
      <c r="E163">
        <v>4821.3100000000004</v>
      </c>
      <c r="F163">
        <v>48</v>
      </c>
      <c r="G163" t="s">
        <v>29</v>
      </c>
      <c r="H163">
        <v>2449.21</v>
      </c>
      <c r="I163">
        <v>2714.12</v>
      </c>
      <c r="J163" t="s">
        <v>30</v>
      </c>
      <c r="K163">
        <v>0.01</v>
      </c>
      <c r="L163" t="s">
        <v>31</v>
      </c>
      <c r="M163" t="s">
        <v>19</v>
      </c>
      <c r="N163" t="s">
        <v>49</v>
      </c>
      <c r="O163">
        <f>Table2[[#This Row],[Unit_Cost]]*Table2[[#This Row],[Quantity_Sold]]</f>
        <v>117562.08</v>
      </c>
      <c r="P163">
        <f t="shared" si="2"/>
        <v>-112740.77</v>
      </c>
      <c r="Q163" s="3">
        <f>Table2[[#This Row],[Gross_Profit]]/Table2[[#This Row],[Sales_Amount]]</f>
        <v>-23.383845884209894</v>
      </c>
      <c r="R163" t="str">
        <f>TEXT(Table2[[#This Row],[Sale_Date]],"mmmm")</f>
        <v>March</v>
      </c>
      <c r="S163" s="4">
        <f>YEAR(Table2[[#This Row],[Sale_Date]])</f>
        <v>2023</v>
      </c>
    </row>
    <row r="164" spans="1:19" x14ac:dyDescent="0.35">
      <c r="A164">
        <v>1004</v>
      </c>
      <c r="B164" s="1">
        <v>45248</v>
      </c>
      <c r="C164" t="s">
        <v>42</v>
      </c>
      <c r="D164" t="s">
        <v>34</v>
      </c>
      <c r="E164">
        <v>7211.48</v>
      </c>
      <c r="F164">
        <v>1</v>
      </c>
      <c r="G164" t="s">
        <v>26</v>
      </c>
      <c r="H164">
        <v>182.99</v>
      </c>
      <c r="I164">
        <v>211.18</v>
      </c>
      <c r="J164" t="s">
        <v>17</v>
      </c>
      <c r="K164">
        <v>0.27</v>
      </c>
      <c r="L164" t="s">
        <v>27</v>
      </c>
      <c r="M164" t="s">
        <v>22</v>
      </c>
      <c r="N164" t="s">
        <v>52</v>
      </c>
      <c r="O164">
        <f>Table2[[#This Row],[Unit_Cost]]*Table2[[#This Row],[Quantity_Sold]]</f>
        <v>182.99</v>
      </c>
      <c r="P164">
        <f t="shared" si="2"/>
        <v>7028.49</v>
      </c>
      <c r="Q164" s="3">
        <f>Table2[[#This Row],[Gross_Profit]]/Table2[[#This Row],[Sales_Amount]]</f>
        <v>0.974625180961467</v>
      </c>
      <c r="R164" t="str">
        <f>TEXT(Table2[[#This Row],[Sale_Date]],"mmmm")</f>
        <v>November</v>
      </c>
      <c r="S164" s="4">
        <f>YEAR(Table2[[#This Row],[Sale_Date]])</f>
        <v>2023</v>
      </c>
    </row>
    <row r="165" spans="1:19" x14ac:dyDescent="0.35">
      <c r="A165">
        <v>1094</v>
      </c>
      <c r="B165" s="1">
        <v>44936</v>
      </c>
      <c r="C165" t="s">
        <v>38</v>
      </c>
      <c r="D165" t="s">
        <v>15</v>
      </c>
      <c r="E165">
        <v>2548.67</v>
      </c>
      <c r="F165">
        <v>25</v>
      </c>
      <c r="G165" t="s">
        <v>35</v>
      </c>
      <c r="H165">
        <v>1933.39</v>
      </c>
      <c r="I165">
        <v>1982.92</v>
      </c>
      <c r="J165" t="s">
        <v>30</v>
      </c>
      <c r="K165">
        <v>0.17</v>
      </c>
      <c r="L165" t="s">
        <v>27</v>
      </c>
      <c r="M165" t="s">
        <v>19</v>
      </c>
      <c r="N165" t="s">
        <v>40</v>
      </c>
      <c r="O165">
        <f>Table2[[#This Row],[Unit_Cost]]*Table2[[#This Row],[Quantity_Sold]]</f>
        <v>48334.75</v>
      </c>
      <c r="P165">
        <f t="shared" si="2"/>
        <v>-45786.080000000002</v>
      </c>
      <c r="Q165" s="3">
        <f>Table2[[#This Row],[Gross_Profit]]/Table2[[#This Row],[Sales_Amount]]</f>
        <v>-17.964695311672362</v>
      </c>
      <c r="R165" t="str">
        <f>TEXT(Table2[[#This Row],[Sale_Date]],"mmmm")</f>
        <v>January</v>
      </c>
      <c r="S165" s="4">
        <f>YEAR(Table2[[#This Row],[Sale_Date]])</f>
        <v>2023</v>
      </c>
    </row>
    <row r="166" spans="1:19" x14ac:dyDescent="0.35">
      <c r="A166">
        <v>1023</v>
      </c>
      <c r="B166" s="1">
        <v>44931</v>
      </c>
      <c r="C166" t="s">
        <v>42</v>
      </c>
      <c r="D166" t="s">
        <v>34</v>
      </c>
      <c r="E166">
        <v>6442.09</v>
      </c>
      <c r="F166">
        <v>2</v>
      </c>
      <c r="G166" t="s">
        <v>29</v>
      </c>
      <c r="H166">
        <v>575.32000000000005</v>
      </c>
      <c r="I166">
        <v>914.77</v>
      </c>
      <c r="J166" t="s">
        <v>17</v>
      </c>
      <c r="K166">
        <v>0.26</v>
      </c>
      <c r="L166" t="s">
        <v>27</v>
      </c>
      <c r="M166" t="s">
        <v>19</v>
      </c>
      <c r="N166" t="s">
        <v>52</v>
      </c>
      <c r="O166">
        <f>Table2[[#This Row],[Unit_Cost]]*Table2[[#This Row],[Quantity_Sold]]</f>
        <v>1150.6400000000001</v>
      </c>
      <c r="P166">
        <f t="shared" si="2"/>
        <v>5291.45</v>
      </c>
      <c r="Q166" s="3">
        <f>Table2[[#This Row],[Gross_Profit]]/Table2[[#This Row],[Sales_Amount]]</f>
        <v>0.82138715851532651</v>
      </c>
      <c r="R166" t="str">
        <f>TEXT(Table2[[#This Row],[Sale_Date]],"mmmm")</f>
        <v>January</v>
      </c>
      <c r="S166" s="4">
        <f>YEAR(Table2[[#This Row],[Sale_Date]])</f>
        <v>2023</v>
      </c>
    </row>
    <row r="167" spans="1:19" x14ac:dyDescent="0.35">
      <c r="A167">
        <v>1015</v>
      </c>
      <c r="B167" s="1">
        <v>45049</v>
      </c>
      <c r="C167" t="s">
        <v>24</v>
      </c>
      <c r="D167" t="s">
        <v>25</v>
      </c>
      <c r="E167">
        <v>6699.34</v>
      </c>
      <c r="F167">
        <v>30</v>
      </c>
      <c r="G167" t="s">
        <v>26</v>
      </c>
      <c r="H167">
        <v>2680.22</v>
      </c>
      <c r="I167">
        <v>3027.9199999999901</v>
      </c>
      <c r="J167" t="s">
        <v>17</v>
      </c>
      <c r="K167">
        <v>0.25</v>
      </c>
      <c r="L167" t="s">
        <v>27</v>
      </c>
      <c r="M167" t="s">
        <v>19</v>
      </c>
      <c r="N167" t="s">
        <v>28</v>
      </c>
      <c r="O167">
        <f>Table2[[#This Row],[Unit_Cost]]*Table2[[#This Row],[Quantity_Sold]]</f>
        <v>80406.599999999991</v>
      </c>
      <c r="P167">
        <f t="shared" si="2"/>
        <v>-73707.259999999995</v>
      </c>
      <c r="Q167" s="3">
        <f>Table2[[#This Row],[Gross_Profit]]/Table2[[#This Row],[Sales_Amount]]</f>
        <v>-11.00216737768198</v>
      </c>
      <c r="R167" t="str">
        <f>TEXT(Table2[[#This Row],[Sale_Date]],"mmmm")</f>
        <v>May</v>
      </c>
      <c r="S167" s="4">
        <f>YEAR(Table2[[#This Row],[Sale_Date]])</f>
        <v>2023</v>
      </c>
    </row>
    <row r="168" spans="1:19" x14ac:dyDescent="0.35">
      <c r="A168">
        <v>1043</v>
      </c>
      <c r="B168" s="1">
        <v>45256</v>
      </c>
      <c r="C168" t="s">
        <v>14</v>
      </c>
      <c r="D168" t="s">
        <v>25</v>
      </c>
      <c r="E168">
        <v>1710.73</v>
      </c>
      <c r="F168">
        <v>3</v>
      </c>
      <c r="G168" t="s">
        <v>35</v>
      </c>
      <c r="H168">
        <v>2009.1</v>
      </c>
      <c r="I168">
        <v>2186.42</v>
      </c>
      <c r="J168" t="s">
        <v>30</v>
      </c>
      <c r="K168">
        <v>0.25</v>
      </c>
      <c r="L168" t="s">
        <v>27</v>
      </c>
      <c r="M168" t="s">
        <v>19</v>
      </c>
      <c r="N168" t="s">
        <v>32</v>
      </c>
      <c r="O168">
        <f>Table2[[#This Row],[Unit_Cost]]*Table2[[#This Row],[Quantity_Sold]]</f>
        <v>6027.2999999999993</v>
      </c>
      <c r="P168">
        <f t="shared" si="2"/>
        <v>-4316.57</v>
      </c>
      <c r="Q168" s="3">
        <f>Table2[[#This Row],[Gross_Profit]]/Table2[[#This Row],[Sales_Amount]]</f>
        <v>-2.5232327719745369</v>
      </c>
      <c r="R168" t="str">
        <f>TEXT(Table2[[#This Row],[Sale_Date]],"mmmm")</f>
        <v>November</v>
      </c>
      <c r="S168" s="4">
        <f>YEAR(Table2[[#This Row],[Sale_Date]])</f>
        <v>2023</v>
      </c>
    </row>
    <row r="169" spans="1:19" x14ac:dyDescent="0.35">
      <c r="A169">
        <v>1029</v>
      </c>
      <c r="B169" s="1">
        <v>45279</v>
      </c>
      <c r="C169" t="s">
        <v>38</v>
      </c>
      <c r="D169" t="s">
        <v>15</v>
      </c>
      <c r="E169">
        <v>5694.34</v>
      </c>
      <c r="F169">
        <v>21</v>
      </c>
      <c r="G169" t="s">
        <v>26</v>
      </c>
      <c r="H169">
        <v>3085.1</v>
      </c>
      <c r="I169">
        <v>3200.75</v>
      </c>
      <c r="J169" t="s">
        <v>30</v>
      </c>
      <c r="K169">
        <v>0.21</v>
      </c>
      <c r="L169" t="s">
        <v>18</v>
      </c>
      <c r="M169" t="s">
        <v>22</v>
      </c>
      <c r="N169" t="s">
        <v>40</v>
      </c>
      <c r="O169">
        <f>Table2[[#This Row],[Unit_Cost]]*Table2[[#This Row],[Quantity_Sold]]</f>
        <v>64787.1</v>
      </c>
      <c r="P169">
        <f t="shared" si="2"/>
        <v>-59092.759999999995</v>
      </c>
      <c r="Q169" s="3">
        <f>Table2[[#This Row],[Gross_Profit]]/Table2[[#This Row],[Sales_Amount]]</f>
        <v>-10.377455508452252</v>
      </c>
      <c r="R169" t="str">
        <f>TEXT(Table2[[#This Row],[Sale_Date]],"mmmm")</f>
        <v>December</v>
      </c>
      <c r="S169" s="4">
        <f>YEAR(Table2[[#This Row],[Sale_Date]])</f>
        <v>2023</v>
      </c>
    </row>
    <row r="170" spans="1:19" x14ac:dyDescent="0.35">
      <c r="A170">
        <v>1036</v>
      </c>
      <c r="B170" s="1">
        <v>45044</v>
      </c>
      <c r="C170" t="s">
        <v>33</v>
      </c>
      <c r="D170" t="s">
        <v>21</v>
      </c>
      <c r="E170">
        <v>7739.11</v>
      </c>
      <c r="F170">
        <v>25</v>
      </c>
      <c r="G170" t="s">
        <v>16</v>
      </c>
      <c r="H170">
        <v>4037.73</v>
      </c>
      <c r="I170">
        <v>4446.45</v>
      </c>
      <c r="J170" t="s">
        <v>17</v>
      </c>
      <c r="K170">
        <v>0.09</v>
      </c>
      <c r="L170" t="s">
        <v>27</v>
      </c>
      <c r="M170" t="s">
        <v>19</v>
      </c>
      <c r="N170" t="s">
        <v>37</v>
      </c>
      <c r="O170">
        <f>Table2[[#This Row],[Unit_Cost]]*Table2[[#This Row],[Quantity_Sold]]</f>
        <v>100943.25</v>
      </c>
      <c r="P170">
        <f t="shared" si="2"/>
        <v>-93204.14</v>
      </c>
      <c r="Q170" s="3">
        <f>Table2[[#This Row],[Gross_Profit]]/Table2[[#This Row],[Sales_Amount]]</f>
        <v>-12.043263372661714</v>
      </c>
      <c r="R170" t="str">
        <f>TEXT(Table2[[#This Row],[Sale_Date]],"mmmm")</f>
        <v>April</v>
      </c>
      <c r="S170" s="4">
        <f>YEAR(Table2[[#This Row],[Sale_Date]])</f>
        <v>2023</v>
      </c>
    </row>
    <row r="171" spans="1:19" x14ac:dyDescent="0.35">
      <c r="A171">
        <v>1013</v>
      </c>
      <c r="B171" s="1">
        <v>45220</v>
      </c>
      <c r="C171" t="s">
        <v>24</v>
      </c>
      <c r="D171" t="s">
        <v>34</v>
      </c>
      <c r="E171">
        <v>5039.07</v>
      </c>
      <c r="F171">
        <v>20</v>
      </c>
      <c r="G171" t="s">
        <v>35</v>
      </c>
      <c r="H171">
        <v>1533.36</v>
      </c>
      <c r="I171">
        <v>1649.73999999999</v>
      </c>
      <c r="J171" t="s">
        <v>17</v>
      </c>
      <c r="K171">
        <v>0.1</v>
      </c>
      <c r="L171" t="s">
        <v>27</v>
      </c>
      <c r="M171" t="s">
        <v>19</v>
      </c>
      <c r="N171" t="s">
        <v>50</v>
      </c>
      <c r="O171">
        <f>Table2[[#This Row],[Unit_Cost]]*Table2[[#This Row],[Quantity_Sold]]</f>
        <v>30667.199999999997</v>
      </c>
      <c r="P171">
        <f t="shared" si="2"/>
        <v>-25628.129999999997</v>
      </c>
      <c r="Q171" s="3">
        <f>Table2[[#This Row],[Gross_Profit]]/Table2[[#This Row],[Sales_Amount]]</f>
        <v>-5.0858848954271325</v>
      </c>
      <c r="R171" t="str">
        <f>TEXT(Table2[[#This Row],[Sale_Date]],"mmmm")</f>
        <v>October</v>
      </c>
      <c r="S171" s="4">
        <f>YEAR(Table2[[#This Row],[Sale_Date]])</f>
        <v>2023</v>
      </c>
    </row>
    <row r="172" spans="1:19" x14ac:dyDescent="0.35">
      <c r="A172">
        <v>1032</v>
      </c>
      <c r="B172" s="1">
        <v>45085</v>
      </c>
      <c r="C172" t="s">
        <v>38</v>
      </c>
      <c r="D172" t="s">
        <v>21</v>
      </c>
      <c r="E172">
        <v>219.82</v>
      </c>
      <c r="F172">
        <v>49</v>
      </c>
      <c r="G172" t="s">
        <v>35</v>
      </c>
      <c r="H172">
        <v>4812.41</v>
      </c>
      <c r="I172">
        <v>5088</v>
      </c>
      <c r="J172" t="s">
        <v>17</v>
      </c>
      <c r="K172">
        <v>0.09</v>
      </c>
      <c r="L172" t="s">
        <v>31</v>
      </c>
      <c r="M172" t="s">
        <v>19</v>
      </c>
      <c r="N172" t="s">
        <v>41</v>
      </c>
      <c r="O172">
        <f>Table2[[#This Row],[Unit_Cost]]*Table2[[#This Row],[Quantity_Sold]]</f>
        <v>235808.09</v>
      </c>
      <c r="P172">
        <f t="shared" si="2"/>
        <v>-235588.27</v>
      </c>
      <c r="Q172" s="3">
        <f>Table2[[#This Row],[Gross_Profit]]/Table2[[#This Row],[Sales_Amount]]</f>
        <v>-1071.7326448912747</v>
      </c>
      <c r="R172" t="str">
        <f>TEXT(Table2[[#This Row],[Sale_Date]],"mmmm")</f>
        <v>June</v>
      </c>
      <c r="S172" s="4">
        <f>YEAR(Table2[[#This Row],[Sale_Date]])</f>
        <v>2023</v>
      </c>
    </row>
    <row r="173" spans="1:19" x14ac:dyDescent="0.35">
      <c r="A173">
        <v>1071</v>
      </c>
      <c r="B173" s="1">
        <v>45229</v>
      </c>
      <c r="C173" t="s">
        <v>42</v>
      </c>
      <c r="D173" t="s">
        <v>21</v>
      </c>
      <c r="E173">
        <v>189.48</v>
      </c>
      <c r="F173">
        <v>22</v>
      </c>
      <c r="G173" t="s">
        <v>35</v>
      </c>
      <c r="H173">
        <v>2701.39</v>
      </c>
      <c r="I173">
        <v>3185.81</v>
      </c>
      <c r="J173" t="s">
        <v>30</v>
      </c>
      <c r="K173">
        <v>0.01</v>
      </c>
      <c r="L173" t="s">
        <v>27</v>
      </c>
      <c r="M173" t="s">
        <v>19</v>
      </c>
      <c r="N173" t="s">
        <v>51</v>
      </c>
      <c r="O173">
        <f>Table2[[#This Row],[Unit_Cost]]*Table2[[#This Row],[Quantity_Sold]]</f>
        <v>59430.579999999994</v>
      </c>
      <c r="P173">
        <f t="shared" si="2"/>
        <v>-59241.099999999991</v>
      </c>
      <c r="Q173" s="3">
        <f>Table2[[#This Row],[Gross_Profit]]/Table2[[#This Row],[Sales_Amount]]</f>
        <v>-312.65093941313063</v>
      </c>
      <c r="R173" t="str">
        <f>TEXT(Table2[[#This Row],[Sale_Date]],"mmmm")</f>
        <v>October</v>
      </c>
      <c r="S173" s="4">
        <f>YEAR(Table2[[#This Row],[Sale_Date]])</f>
        <v>2023</v>
      </c>
    </row>
    <row r="174" spans="1:19" x14ac:dyDescent="0.35">
      <c r="A174">
        <v>1059</v>
      </c>
      <c r="B174" s="1">
        <v>45154</v>
      </c>
      <c r="C174" t="s">
        <v>42</v>
      </c>
      <c r="D174" t="s">
        <v>21</v>
      </c>
      <c r="E174">
        <v>3634.59</v>
      </c>
      <c r="F174">
        <v>21</v>
      </c>
      <c r="G174" t="s">
        <v>29</v>
      </c>
      <c r="H174">
        <v>3110.54</v>
      </c>
      <c r="I174">
        <v>3192.99</v>
      </c>
      <c r="J174" t="s">
        <v>30</v>
      </c>
      <c r="K174">
        <v>0.17</v>
      </c>
      <c r="L174" t="s">
        <v>31</v>
      </c>
      <c r="M174" t="s">
        <v>19</v>
      </c>
      <c r="N174" t="s">
        <v>51</v>
      </c>
      <c r="O174">
        <f>Table2[[#This Row],[Unit_Cost]]*Table2[[#This Row],[Quantity_Sold]]</f>
        <v>65321.34</v>
      </c>
      <c r="P174">
        <f t="shared" si="2"/>
        <v>-61686.75</v>
      </c>
      <c r="Q174" s="3">
        <f>Table2[[#This Row],[Gross_Profit]]/Table2[[#This Row],[Sales_Amount]]</f>
        <v>-16.972134408557775</v>
      </c>
      <c r="R174" t="str">
        <f>TEXT(Table2[[#This Row],[Sale_Date]],"mmmm")</f>
        <v>August</v>
      </c>
      <c r="S174" s="4">
        <f>YEAR(Table2[[#This Row],[Sale_Date]])</f>
        <v>2023</v>
      </c>
    </row>
    <row r="175" spans="1:19" x14ac:dyDescent="0.35">
      <c r="A175">
        <v>1086</v>
      </c>
      <c r="B175" s="1">
        <v>45291</v>
      </c>
      <c r="C175" t="s">
        <v>42</v>
      </c>
      <c r="D175" t="s">
        <v>25</v>
      </c>
      <c r="E175">
        <v>9269.32</v>
      </c>
      <c r="F175">
        <v>33</v>
      </c>
      <c r="G175" t="s">
        <v>29</v>
      </c>
      <c r="H175">
        <v>3419.33</v>
      </c>
      <c r="I175">
        <v>3890.3599999999901</v>
      </c>
      <c r="J175" t="s">
        <v>17</v>
      </c>
      <c r="K175">
        <v>0.21</v>
      </c>
      <c r="L175" t="s">
        <v>18</v>
      </c>
      <c r="M175" t="s">
        <v>22</v>
      </c>
      <c r="N175" t="s">
        <v>43</v>
      </c>
      <c r="O175">
        <f>Table2[[#This Row],[Unit_Cost]]*Table2[[#This Row],[Quantity_Sold]]</f>
        <v>112837.89</v>
      </c>
      <c r="P175">
        <f t="shared" si="2"/>
        <v>-103568.57</v>
      </c>
      <c r="Q175" s="3">
        <f>Table2[[#This Row],[Gross_Profit]]/Table2[[#This Row],[Sales_Amount]]</f>
        <v>-11.173265137032708</v>
      </c>
      <c r="R175" t="str">
        <f>TEXT(Table2[[#This Row],[Sale_Date]],"mmmm")</f>
        <v>December</v>
      </c>
      <c r="S175" s="4">
        <f>YEAR(Table2[[#This Row],[Sale_Date]])</f>
        <v>2023</v>
      </c>
    </row>
    <row r="176" spans="1:19" x14ac:dyDescent="0.35">
      <c r="A176">
        <v>1028</v>
      </c>
      <c r="B176" s="1">
        <v>45142</v>
      </c>
      <c r="C176" t="s">
        <v>42</v>
      </c>
      <c r="D176" t="s">
        <v>15</v>
      </c>
      <c r="E176">
        <v>2363.9</v>
      </c>
      <c r="F176">
        <v>38</v>
      </c>
      <c r="G176" t="s">
        <v>29</v>
      </c>
      <c r="H176">
        <v>3350.32</v>
      </c>
      <c r="I176">
        <v>3449.94</v>
      </c>
      <c r="J176" t="s">
        <v>30</v>
      </c>
      <c r="K176">
        <v>0.26</v>
      </c>
      <c r="L176" t="s">
        <v>18</v>
      </c>
      <c r="M176" t="s">
        <v>19</v>
      </c>
      <c r="N176" t="s">
        <v>49</v>
      </c>
      <c r="O176">
        <f>Table2[[#This Row],[Unit_Cost]]*Table2[[#This Row],[Quantity_Sold]]</f>
        <v>127312.16</v>
      </c>
      <c r="P176">
        <f t="shared" si="2"/>
        <v>-124948.26000000001</v>
      </c>
      <c r="Q176" s="3">
        <f>Table2[[#This Row],[Gross_Profit]]/Table2[[#This Row],[Sales_Amount]]</f>
        <v>-52.856829815136003</v>
      </c>
      <c r="R176" t="str">
        <f>TEXT(Table2[[#This Row],[Sale_Date]],"mmmm")</f>
        <v>August</v>
      </c>
      <c r="S176" s="4">
        <f>YEAR(Table2[[#This Row],[Sale_Date]])</f>
        <v>2023</v>
      </c>
    </row>
    <row r="177" spans="1:19" x14ac:dyDescent="0.35">
      <c r="A177">
        <v>1066</v>
      </c>
      <c r="B177" s="1">
        <v>45110</v>
      </c>
      <c r="C177" t="s">
        <v>33</v>
      </c>
      <c r="D177" t="s">
        <v>15</v>
      </c>
      <c r="E177">
        <v>6380.2</v>
      </c>
      <c r="F177">
        <v>15</v>
      </c>
      <c r="G177" t="s">
        <v>16</v>
      </c>
      <c r="H177">
        <v>2579.31</v>
      </c>
      <c r="I177">
        <v>2867.36</v>
      </c>
      <c r="J177" t="s">
        <v>17</v>
      </c>
      <c r="K177">
        <v>0.04</v>
      </c>
      <c r="L177" t="s">
        <v>27</v>
      </c>
      <c r="M177" t="s">
        <v>22</v>
      </c>
      <c r="N177" t="s">
        <v>53</v>
      </c>
      <c r="O177">
        <f>Table2[[#This Row],[Unit_Cost]]*Table2[[#This Row],[Quantity_Sold]]</f>
        <v>38689.65</v>
      </c>
      <c r="P177">
        <f t="shared" si="2"/>
        <v>-32309.45</v>
      </c>
      <c r="Q177" s="3">
        <f>Table2[[#This Row],[Gross_Profit]]/Table2[[#This Row],[Sales_Amount]]</f>
        <v>-5.0640183693301157</v>
      </c>
      <c r="R177" t="str">
        <f>TEXT(Table2[[#This Row],[Sale_Date]],"mmmm")</f>
        <v>July</v>
      </c>
      <c r="S177" s="4">
        <f>YEAR(Table2[[#This Row],[Sale_Date]])</f>
        <v>2023</v>
      </c>
    </row>
    <row r="178" spans="1:19" x14ac:dyDescent="0.35">
      <c r="A178">
        <v>1042</v>
      </c>
      <c r="B178" s="1">
        <v>44941</v>
      </c>
      <c r="C178" t="s">
        <v>24</v>
      </c>
      <c r="D178" t="s">
        <v>25</v>
      </c>
      <c r="E178">
        <v>2298.5500000000002</v>
      </c>
      <c r="F178">
        <v>46</v>
      </c>
      <c r="G178" t="s">
        <v>16</v>
      </c>
      <c r="H178">
        <v>2172.38</v>
      </c>
      <c r="I178">
        <v>2367.11</v>
      </c>
      <c r="J178" t="s">
        <v>30</v>
      </c>
      <c r="K178">
        <v>0.16</v>
      </c>
      <c r="L178" t="s">
        <v>18</v>
      </c>
      <c r="M178" t="s">
        <v>22</v>
      </c>
      <c r="N178" t="s">
        <v>28</v>
      </c>
      <c r="O178">
        <f>Table2[[#This Row],[Unit_Cost]]*Table2[[#This Row],[Quantity_Sold]]</f>
        <v>99929.48000000001</v>
      </c>
      <c r="P178">
        <f t="shared" si="2"/>
        <v>-97630.930000000008</v>
      </c>
      <c r="Q178" s="3">
        <f>Table2[[#This Row],[Gross_Profit]]/Table2[[#This Row],[Sales_Amount]]</f>
        <v>-42.475008157316566</v>
      </c>
      <c r="R178" t="str">
        <f>TEXT(Table2[[#This Row],[Sale_Date]],"mmmm")</f>
        <v>January</v>
      </c>
      <c r="S178" s="4">
        <f>YEAR(Table2[[#This Row],[Sale_Date]])</f>
        <v>2023</v>
      </c>
    </row>
    <row r="179" spans="1:19" x14ac:dyDescent="0.35">
      <c r="A179">
        <v>1045</v>
      </c>
      <c r="B179" s="1">
        <v>45083</v>
      </c>
      <c r="C179" t="s">
        <v>14</v>
      </c>
      <c r="D179" t="s">
        <v>25</v>
      </c>
      <c r="E179">
        <v>3284.53</v>
      </c>
      <c r="F179">
        <v>15</v>
      </c>
      <c r="G179" t="s">
        <v>35</v>
      </c>
      <c r="H179">
        <v>316.22000000000003</v>
      </c>
      <c r="I179">
        <v>799.04</v>
      </c>
      <c r="J179" t="s">
        <v>30</v>
      </c>
      <c r="K179">
        <v>0</v>
      </c>
      <c r="L179" t="s">
        <v>27</v>
      </c>
      <c r="M179" t="s">
        <v>19</v>
      </c>
      <c r="N179" t="s">
        <v>32</v>
      </c>
      <c r="O179">
        <f>Table2[[#This Row],[Unit_Cost]]*Table2[[#This Row],[Quantity_Sold]]</f>
        <v>4743.3</v>
      </c>
      <c r="P179">
        <f t="shared" si="2"/>
        <v>-1458.77</v>
      </c>
      <c r="Q179" s="3">
        <f>Table2[[#This Row],[Gross_Profit]]/Table2[[#This Row],[Sales_Amount]]</f>
        <v>-0.44413355944381688</v>
      </c>
      <c r="R179" t="str">
        <f>TEXT(Table2[[#This Row],[Sale_Date]],"mmmm")</f>
        <v>June</v>
      </c>
      <c r="S179" s="4">
        <f>YEAR(Table2[[#This Row],[Sale_Date]])</f>
        <v>2023</v>
      </c>
    </row>
    <row r="180" spans="1:19" x14ac:dyDescent="0.35">
      <c r="A180">
        <v>1062</v>
      </c>
      <c r="B180" s="1">
        <v>45062</v>
      </c>
      <c r="C180" t="s">
        <v>33</v>
      </c>
      <c r="D180" t="s">
        <v>15</v>
      </c>
      <c r="E180">
        <v>8495.6200000000008</v>
      </c>
      <c r="F180">
        <v>46</v>
      </c>
      <c r="G180" t="s">
        <v>16</v>
      </c>
      <c r="H180">
        <v>159.32</v>
      </c>
      <c r="I180">
        <v>303.36</v>
      </c>
      <c r="J180" t="s">
        <v>30</v>
      </c>
      <c r="K180">
        <v>0.03</v>
      </c>
      <c r="L180" t="s">
        <v>18</v>
      </c>
      <c r="M180" t="s">
        <v>22</v>
      </c>
      <c r="N180" t="s">
        <v>53</v>
      </c>
      <c r="O180">
        <f>Table2[[#This Row],[Unit_Cost]]*Table2[[#This Row],[Quantity_Sold]]</f>
        <v>7328.7199999999993</v>
      </c>
      <c r="P180">
        <f t="shared" si="2"/>
        <v>1166.9000000000015</v>
      </c>
      <c r="Q180" s="3">
        <f>Table2[[#This Row],[Gross_Profit]]/Table2[[#This Row],[Sales_Amount]]</f>
        <v>0.13735313020120973</v>
      </c>
      <c r="R180" t="str">
        <f>TEXT(Table2[[#This Row],[Sale_Date]],"mmmm")</f>
        <v>May</v>
      </c>
      <c r="S180" s="4">
        <f>YEAR(Table2[[#This Row],[Sale_Date]])</f>
        <v>2023</v>
      </c>
    </row>
    <row r="181" spans="1:19" x14ac:dyDescent="0.35">
      <c r="A181">
        <v>1057</v>
      </c>
      <c r="B181" s="1">
        <v>45187</v>
      </c>
      <c r="C181" t="s">
        <v>33</v>
      </c>
      <c r="D181" t="s">
        <v>21</v>
      </c>
      <c r="E181">
        <v>7315.73</v>
      </c>
      <c r="F181">
        <v>25</v>
      </c>
      <c r="G181" t="s">
        <v>26</v>
      </c>
      <c r="H181">
        <v>1821.91</v>
      </c>
      <c r="I181">
        <v>2027.74</v>
      </c>
      <c r="J181" t="s">
        <v>30</v>
      </c>
      <c r="K181">
        <v>0.02</v>
      </c>
      <c r="L181" t="s">
        <v>27</v>
      </c>
      <c r="M181" t="s">
        <v>22</v>
      </c>
      <c r="N181" t="s">
        <v>37</v>
      </c>
      <c r="O181">
        <f>Table2[[#This Row],[Unit_Cost]]*Table2[[#This Row],[Quantity_Sold]]</f>
        <v>45547.75</v>
      </c>
      <c r="P181">
        <f t="shared" si="2"/>
        <v>-38232.020000000004</v>
      </c>
      <c r="Q181" s="3">
        <f>Table2[[#This Row],[Gross_Profit]]/Table2[[#This Row],[Sales_Amount]]</f>
        <v>-5.2260020531102169</v>
      </c>
      <c r="R181" t="str">
        <f>TEXT(Table2[[#This Row],[Sale_Date]],"mmmm")</f>
        <v>September</v>
      </c>
      <c r="S181" s="4">
        <f>YEAR(Table2[[#This Row],[Sale_Date]])</f>
        <v>2023</v>
      </c>
    </row>
    <row r="182" spans="1:19" x14ac:dyDescent="0.35">
      <c r="A182">
        <v>1006</v>
      </c>
      <c r="B182" s="1">
        <v>45083</v>
      </c>
      <c r="C182" t="s">
        <v>14</v>
      </c>
      <c r="D182" t="s">
        <v>34</v>
      </c>
      <c r="E182">
        <v>1044.45</v>
      </c>
      <c r="F182">
        <v>21</v>
      </c>
      <c r="G182" t="s">
        <v>35</v>
      </c>
      <c r="H182">
        <v>1701.62</v>
      </c>
      <c r="I182">
        <v>2193.2199999999998</v>
      </c>
      <c r="J182" t="s">
        <v>30</v>
      </c>
      <c r="K182">
        <v>0.22</v>
      </c>
      <c r="L182" t="s">
        <v>27</v>
      </c>
      <c r="M182" t="s">
        <v>22</v>
      </c>
      <c r="N182" t="s">
        <v>46</v>
      </c>
      <c r="O182">
        <f>Table2[[#This Row],[Unit_Cost]]*Table2[[#This Row],[Quantity_Sold]]</f>
        <v>35734.019999999997</v>
      </c>
      <c r="P182">
        <f t="shared" si="2"/>
        <v>-34689.57</v>
      </c>
      <c r="Q182" s="3">
        <f>Table2[[#This Row],[Gross_Profit]]/Table2[[#This Row],[Sales_Amount]]</f>
        <v>-33.213241418928618</v>
      </c>
      <c r="R182" t="str">
        <f>TEXT(Table2[[#This Row],[Sale_Date]],"mmmm")</f>
        <v>June</v>
      </c>
      <c r="S182" s="4">
        <f>YEAR(Table2[[#This Row],[Sale_Date]])</f>
        <v>2023</v>
      </c>
    </row>
    <row r="183" spans="1:19" x14ac:dyDescent="0.35">
      <c r="A183">
        <v>1028</v>
      </c>
      <c r="B183" s="1">
        <v>44973</v>
      </c>
      <c r="C183" t="s">
        <v>14</v>
      </c>
      <c r="D183" t="s">
        <v>34</v>
      </c>
      <c r="E183">
        <v>4344.1499999999996</v>
      </c>
      <c r="F183">
        <v>24</v>
      </c>
      <c r="G183" t="s">
        <v>35</v>
      </c>
      <c r="H183">
        <v>1969.09</v>
      </c>
      <c r="I183">
        <v>2241.96</v>
      </c>
      <c r="J183" t="s">
        <v>17</v>
      </c>
      <c r="K183">
        <v>0.02</v>
      </c>
      <c r="L183" t="s">
        <v>31</v>
      </c>
      <c r="M183" t="s">
        <v>19</v>
      </c>
      <c r="N183" t="s">
        <v>46</v>
      </c>
      <c r="O183">
        <f>Table2[[#This Row],[Unit_Cost]]*Table2[[#This Row],[Quantity_Sold]]</f>
        <v>47258.159999999996</v>
      </c>
      <c r="P183">
        <f t="shared" si="2"/>
        <v>-42914.009999999995</v>
      </c>
      <c r="Q183" s="3">
        <f>Table2[[#This Row],[Gross_Profit]]/Table2[[#This Row],[Sales_Amount]]</f>
        <v>-9.8785746348537682</v>
      </c>
      <c r="R183" t="str">
        <f>TEXT(Table2[[#This Row],[Sale_Date]],"mmmm")</f>
        <v>February</v>
      </c>
      <c r="S183" s="4">
        <f>YEAR(Table2[[#This Row],[Sale_Date]])</f>
        <v>2023</v>
      </c>
    </row>
    <row r="184" spans="1:19" x14ac:dyDescent="0.35">
      <c r="A184">
        <v>1028</v>
      </c>
      <c r="B184" s="1">
        <v>45250</v>
      </c>
      <c r="C184" t="s">
        <v>42</v>
      </c>
      <c r="D184" t="s">
        <v>34</v>
      </c>
      <c r="E184">
        <v>388.78</v>
      </c>
      <c r="F184">
        <v>5</v>
      </c>
      <c r="G184" t="s">
        <v>26</v>
      </c>
      <c r="H184">
        <v>734.92</v>
      </c>
      <c r="I184">
        <v>991.21</v>
      </c>
      <c r="J184" t="s">
        <v>17</v>
      </c>
      <c r="K184">
        <v>0.21</v>
      </c>
      <c r="L184" t="s">
        <v>31</v>
      </c>
      <c r="M184" t="s">
        <v>19</v>
      </c>
      <c r="N184" t="s">
        <v>52</v>
      </c>
      <c r="O184">
        <f>Table2[[#This Row],[Unit_Cost]]*Table2[[#This Row],[Quantity_Sold]]</f>
        <v>3674.6</v>
      </c>
      <c r="P184">
        <f t="shared" si="2"/>
        <v>-3285.8199999999997</v>
      </c>
      <c r="Q184" s="3">
        <f>Table2[[#This Row],[Gross_Profit]]/Table2[[#This Row],[Sales_Amount]]</f>
        <v>-8.4516178815782705</v>
      </c>
      <c r="R184" t="str">
        <f>TEXT(Table2[[#This Row],[Sale_Date]],"mmmm")</f>
        <v>November</v>
      </c>
      <c r="S184" s="4">
        <f>YEAR(Table2[[#This Row],[Sale_Date]])</f>
        <v>2023</v>
      </c>
    </row>
    <row r="185" spans="1:19" x14ac:dyDescent="0.3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c r="O185">
        <f>Table2[[#This Row],[Unit_Cost]]*Table2[[#This Row],[Quantity_Sold]]</f>
        <v>22223.579999999998</v>
      </c>
      <c r="P185">
        <f t="shared" si="2"/>
        <v>-17362.769999999997</v>
      </c>
      <c r="Q185" s="3">
        <f>Table2[[#This Row],[Gross_Profit]]/Table2[[#This Row],[Sales_Amount]]</f>
        <v>-3.5719910879051011</v>
      </c>
      <c r="R185" t="str">
        <f>TEXT(Table2[[#This Row],[Sale_Date]],"mmmm")</f>
        <v>November</v>
      </c>
      <c r="S185" s="4">
        <f>YEAR(Table2[[#This Row],[Sale_Date]])</f>
        <v>2023</v>
      </c>
    </row>
    <row r="186" spans="1:19" x14ac:dyDescent="0.35">
      <c r="A186">
        <v>1084</v>
      </c>
      <c r="B186" s="1">
        <v>45099</v>
      </c>
      <c r="C186" t="s">
        <v>38</v>
      </c>
      <c r="D186" t="s">
        <v>15</v>
      </c>
      <c r="E186">
        <v>6658.1</v>
      </c>
      <c r="F186">
        <v>49</v>
      </c>
      <c r="G186" t="s">
        <v>16</v>
      </c>
      <c r="H186">
        <v>4291.97</v>
      </c>
      <c r="I186">
        <v>4645.6400000000003</v>
      </c>
      <c r="J186" t="s">
        <v>17</v>
      </c>
      <c r="K186">
        <v>0.26</v>
      </c>
      <c r="L186" t="s">
        <v>31</v>
      </c>
      <c r="M186" t="s">
        <v>19</v>
      </c>
      <c r="N186" t="s">
        <v>40</v>
      </c>
      <c r="O186">
        <f>Table2[[#This Row],[Unit_Cost]]*Table2[[#This Row],[Quantity_Sold]]</f>
        <v>210306.53</v>
      </c>
      <c r="P186">
        <f t="shared" si="2"/>
        <v>-203648.43</v>
      </c>
      <c r="Q186" s="3">
        <f>Table2[[#This Row],[Gross_Profit]]/Table2[[#This Row],[Sales_Amount]]</f>
        <v>-30.58656824018864</v>
      </c>
      <c r="R186" t="str">
        <f>TEXT(Table2[[#This Row],[Sale_Date]],"mmmm")</f>
        <v>June</v>
      </c>
      <c r="S186" s="4">
        <f>YEAR(Table2[[#This Row],[Sale_Date]])</f>
        <v>2023</v>
      </c>
    </row>
    <row r="187" spans="1:19" x14ac:dyDescent="0.35">
      <c r="A187">
        <v>1030</v>
      </c>
      <c r="B187" s="1">
        <v>45056</v>
      </c>
      <c r="C187" t="s">
        <v>14</v>
      </c>
      <c r="D187" t="s">
        <v>25</v>
      </c>
      <c r="E187">
        <v>1273.18</v>
      </c>
      <c r="F187">
        <v>43</v>
      </c>
      <c r="G187" t="s">
        <v>29</v>
      </c>
      <c r="H187">
        <v>4696.6400000000003</v>
      </c>
      <c r="I187">
        <v>4713.68</v>
      </c>
      <c r="J187" t="s">
        <v>17</v>
      </c>
      <c r="K187">
        <v>0.24</v>
      </c>
      <c r="L187" t="s">
        <v>27</v>
      </c>
      <c r="M187" t="s">
        <v>19</v>
      </c>
      <c r="N187" t="s">
        <v>32</v>
      </c>
      <c r="O187">
        <f>Table2[[#This Row],[Unit_Cost]]*Table2[[#This Row],[Quantity_Sold]]</f>
        <v>201955.52000000002</v>
      </c>
      <c r="P187">
        <f t="shared" si="2"/>
        <v>-200682.34000000003</v>
      </c>
      <c r="Q187" s="3">
        <f>Table2[[#This Row],[Gross_Profit]]/Table2[[#This Row],[Sales_Amount]]</f>
        <v>-157.62291270676576</v>
      </c>
      <c r="R187" t="str">
        <f>TEXT(Table2[[#This Row],[Sale_Date]],"mmmm")</f>
        <v>May</v>
      </c>
      <c r="S187" s="4">
        <f>YEAR(Table2[[#This Row],[Sale_Date]])</f>
        <v>2023</v>
      </c>
    </row>
    <row r="188" spans="1:19" x14ac:dyDescent="0.3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c r="O188">
        <f>Table2[[#This Row],[Unit_Cost]]*Table2[[#This Row],[Quantity_Sold]]</f>
        <v>119385.12</v>
      </c>
      <c r="P188">
        <f t="shared" si="2"/>
        <v>-116425.15999999999</v>
      </c>
      <c r="Q188" s="3">
        <f>Table2[[#This Row],[Gross_Profit]]/Table2[[#This Row],[Sales_Amount]]</f>
        <v>-39.333355856160217</v>
      </c>
      <c r="R188" t="str">
        <f>TEXT(Table2[[#This Row],[Sale_Date]],"mmmm")</f>
        <v>April</v>
      </c>
      <c r="S188" s="4">
        <f>YEAR(Table2[[#This Row],[Sale_Date]])</f>
        <v>2023</v>
      </c>
    </row>
    <row r="189" spans="1:19" x14ac:dyDescent="0.35">
      <c r="A189">
        <v>1075</v>
      </c>
      <c r="B189" s="1">
        <v>45041</v>
      </c>
      <c r="C189" t="s">
        <v>24</v>
      </c>
      <c r="D189" t="s">
        <v>21</v>
      </c>
      <c r="E189">
        <v>4038.58</v>
      </c>
      <c r="F189">
        <v>44</v>
      </c>
      <c r="G189" t="s">
        <v>16</v>
      </c>
      <c r="H189">
        <v>3519.29</v>
      </c>
      <c r="I189">
        <v>3822.98</v>
      </c>
      <c r="J189" t="s">
        <v>17</v>
      </c>
      <c r="K189">
        <v>0.27</v>
      </c>
      <c r="L189" t="s">
        <v>27</v>
      </c>
      <c r="M189" t="s">
        <v>19</v>
      </c>
      <c r="N189" t="s">
        <v>47</v>
      </c>
      <c r="O189">
        <f>Table2[[#This Row],[Unit_Cost]]*Table2[[#This Row],[Quantity_Sold]]</f>
        <v>154848.76</v>
      </c>
      <c r="P189">
        <f t="shared" si="2"/>
        <v>-150810.18000000002</v>
      </c>
      <c r="Q189" s="3">
        <f>Table2[[#This Row],[Gross_Profit]]/Table2[[#This Row],[Sales_Amount]]</f>
        <v>-37.342377766442667</v>
      </c>
      <c r="R189" t="str">
        <f>TEXT(Table2[[#This Row],[Sale_Date]],"mmmm")</f>
        <v>April</v>
      </c>
      <c r="S189" s="4">
        <f>YEAR(Table2[[#This Row],[Sale_Date]])</f>
        <v>2023</v>
      </c>
    </row>
    <row r="190" spans="1:19" x14ac:dyDescent="0.3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c r="O190">
        <f>Table2[[#This Row],[Unit_Cost]]*Table2[[#This Row],[Quantity_Sold]]</f>
        <v>201394.05999999997</v>
      </c>
      <c r="P190">
        <f t="shared" si="2"/>
        <v>-192190.69999999995</v>
      </c>
      <c r="Q190" s="3">
        <f>Table2[[#This Row],[Gross_Profit]]/Table2[[#This Row],[Sales_Amount]]</f>
        <v>-20.882666765181405</v>
      </c>
      <c r="R190" t="str">
        <f>TEXT(Table2[[#This Row],[Sale_Date]],"mmmm")</f>
        <v>August</v>
      </c>
      <c r="S190" s="4">
        <f>YEAR(Table2[[#This Row],[Sale_Date]])</f>
        <v>2023</v>
      </c>
    </row>
    <row r="191" spans="1:19" x14ac:dyDescent="0.35">
      <c r="A191">
        <v>1089</v>
      </c>
      <c r="B191" s="1">
        <v>45218</v>
      </c>
      <c r="C191" t="s">
        <v>38</v>
      </c>
      <c r="D191" t="s">
        <v>21</v>
      </c>
      <c r="E191">
        <v>9933.2199999999993</v>
      </c>
      <c r="F191">
        <v>23</v>
      </c>
      <c r="G191" t="s">
        <v>26</v>
      </c>
      <c r="H191">
        <v>2120.54</v>
      </c>
      <c r="I191">
        <v>2597.67</v>
      </c>
      <c r="J191" t="s">
        <v>17</v>
      </c>
      <c r="K191">
        <v>0.26</v>
      </c>
      <c r="L191" t="s">
        <v>31</v>
      </c>
      <c r="M191" t="s">
        <v>22</v>
      </c>
      <c r="N191" t="s">
        <v>41</v>
      </c>
      <c r="O191">
        <f>Table2[[#This Row],[Unit_Cost]]*Table2[[#This Row],[Quantity_Sold]]</f>
        <v>48772.42</v>
      </c>
      <c r="P191">
        <f t="shared" si="2"/>
        <v>-38839.199999999997</v>
      </c>
      <c r="Q191" s="3">
        <f>Table2[[#This Row],[Gross_Profit]]/Table2[[#This Row],[Sales_Amount]]</f>
        <v>-3.9100311882753025</v>
      </c>
      <c r="R191" t="str">
        <f>TEXT(Table2[[#This Row],[Sale_Date]],"mmmm")</f>
        <v>October</v>
      </c>
      <c r="S191" s="4">
        <f>YEAR(Table2[[#This Row],[Sale_Date]])</f>
        <v>2023</v>
      </c>
    </row>
    <row r="192" spans="1:19" x14ac:dyDescent="0.35">
      <c r="A192">
        <v>1062</v>
      </c>
      <c r="B192" s="1">
        <v>45208</v>
      </c>
      <c r="C192" t="s">
        <v>14</v>
      </c>
      <c r="D192" t="s">
        <v>34</v>
      </c>
      <c r="E192">
        <v>544.62</v>
      </c>
      <c r="F192">
        <v>4</v>
      </c>
      <c r="G192" t="s">
        <v>35</v>
      </c>
      <c r="H192">
        <v>1581.59</v>
      </c>
      <c r="I192">
        <v>2034.1499999999901</v>
      </c>
      <c r="J192" t="s">
        <v>17</v>
      </c>
      <c r="K192">
        <v>0.21</v>
      </c>
      <c r="L192" t="s">
        <v>18</v>
      </c>
      <c r="M192" t="s">
        <v>19</v>
      </c>
      <c r="N192" t="s">
        <v>46</v>
      </c>
      <c r="O192">
        <f>Table2[[#This Row],[Unit_Cost]]*Table2[[#This Row],[Quantity_Sold]]</f>
        <v>6326.36</v>
      </c>
      <c r="P192">
        <f t="shared" si="2"/>
        <v>-5781.74</v>
      </c>
      <c r="Q192" s="3">
        <f>Table2[[#This Row],[Gross_Profit]]/Table2[[#This Row],[Sales_Amount]]</f>
        <v>-10.616099298593515</v>
      </c>
      <c r="R192" t="str">
        <f>TEXT(Table2[[#This Row],[Sale_Date]],"mmmm")</f>
        <v>October</v>
      </c>
      <c r="S192" s="4">
        <f>YEAR(Table2[[#This Row],[Sale_Date]])</f>
        <v>2023</v>
      </c>
    </row>
    <row r="193" spans="1:19" x14ac:dyDescent="0.35">
      <c r="A193">
        <v>1097</v>
      </c>
      <c r="B193" s="1">
        <v>45225</v>
      </c>
      <c r="C193" t="s">
        <v>42</v>
      </c>
      <c r="D193" t="s">
        <v>34</v>
      </c>
      <c r="E193">
        <v>7633.98</v>
      </c>
      <c r="F193">
        <v>27</v>
      </c>
      <c r="G193" t="s">
        <v>35</v>
      </c>
      <c r="H193">
        <v>4686.79</v>
      </c>
      <c r="I193">
        <v>5046.51</v>
      </c>
      <c r="J193" t="s">
        <v>17</v>
      </c>
      <c r="K193">
        <v>0.05</v>
      </c>
      <c r="L193" t="s">
        <v>31</v>
      </c>
      <c r="M193" t="s">
        <v>22</v>
      </c>
      <c r="N193" t="s">
        <v>52</v>
      </c>
      <c r="O193">
        <f>Table2[[#This Row],[Unit_Cost]]*Table2[[#This Row],[Quantity_Sold]]</f>
        <v>126543.33</v>
      </c>
      <c r="P193">
        <f t="shared" si="2"/>
        <v>-118909.35</v>
      </c>
      <c r="Q193" s="3">
        <f>Table2[[#This Row],[Gross_Profit]]/Table2[[#This Row],[Sales_Amount]]</f>
        <v>-15.576324538445217</v>
      </c>
      <c r="R193" t="str">
        <f>TEXT(Table2[[#This Row],[Sale_Date]],"mmmm")</f>
        <v>October</v>
      </c>
      <c r="S193" s="4">
        <f>YEAR(Table2[[#This Row],[Sale_Date]])</f>
        <v>2023</v>
      </c>
    </row>
    <row r="194" spans="1:19" x14ac:dyDescent="0.35">
      <c r="A194">
        <v>1001</v>
      </c>
      <c r="B194" s="1">
        <v>45209</v>
      </c>
      <c r="C194" t="s">
        <v>24</v>
      </c>
      <c r="D194" t="s">
        <v>21</v>
      </c>
      <c r="E194">
        <v>3780.07</v>
      </c>
      <c r="F194">
        <v>18</v>
      </c>
      <c r="G194" t="s">
        <v>16</v>
      </c>
      <c r="H194">
        <v>2602.6</v>
      </c>
      <c r="I194">
        <v>3013.49</v>
      </c>
      <c r="J194" t="s">
        <v>17</v>
      </c>
      <c r="K194">
        <v>0.08</v>
      </c>
      <c r="L194" t="s">
        <v>27</v>
      </c>
      <c r="M194" t="s">
        <v>19</v>
      </c>
      <c r="N194" t="s">
        <v>47</v>
      </c>
      <c r="O194">
        <f>Table2[[#This Row],[Unit_Cost]]*Table2[[#This Row],[Quantity_Sold]]</f>
        <v>46846.799999999996</v>
      </c>
      <c r="P194">
        <f t="shared" ref="P194:P257" si="3">E194-O194</f>
        <v>-43066.729999999996</v>
      </c>
      <c r="Q194" s="3">
        <f>Table2[[#This Row],[Gross_Profit]]/Table2[[#This Row],[Sales_Amount]]</f>
        <v>-11.393103831410528</v>
      </c>
      <c r="R194" t="str">
        <f>TEXT(Table2[[#This Row],[Sale_Date]],"mmmm")</f>
        <v>October</v>
      </c>
      <c r="S194" s="4">
        <f>YEAR(Table2[[#This Row],[Sale_Date]])</f>
        <v>2023</v>
      </c>
    </row>
    <row r="195" spans="1:19" x14ac:dyDescent="0.35">
      <c r="A195">
        <v>1027</v>
      </c>
      <c r="B195" s="1">
        <v>44995</v>
      </c>
      <c r="C195" t="s">
        <v>38</v>
      </c>
      <c r="D195" t="s">
        <v>25</v>
      </c>
      <c r="E195">
        <v>3985.34</v>
      </c>
      <c r="F195">
        <v>21</v>
      </c>
      <c r="G195" t="s">
        <v>26</v>
      </c>
      <c r="H195">
        <v>2511.41</v>
      </c>
      <c r="I195">
        <v>2848.3999999999901</v>
      </c>
      <c r="J195" t="s">
        <v>17</v>
      </c>
      <c r="K195">
        <v>0.06</v>
      </c>
      <c r="L195" t="s">
        <v>27</v>
      </c>
      <c r="M195" t="s">
        <v>19</v>
      </c>
      <c r="N195" t="s">
        <v>39</v>
      </c>
      <c r="O195">
        <f>Table2[[#This Row],[Unit_Cost]]*Table2[[#This Row],[Quantity_Sold]]</f>
        <v>52739.61</v>
      </c>
      <c r="P195">
        <f t="shared" si="3"/>
        <v>-48754.270000000004</v>
      </c>
      <c r="Q195" s="3">
        <f>Table2[[#This Row],[Gross_Profit]]/Table2[[#This Row],[Sales_Amount]]</f>
        <v>-12.233402921708061</v>
      </c>
      <c r="R195" t="str">
        <f>TEXT(Table2[[#This Row],[Sale_Date]],"mmmm")</f>
        <v>March</v>
      </c>
      <c r="S195" s="4">
        <f>YEAR(Table2[[#This Row],[Sale_Date]])</f>
        <v>2023</v>
      </c>
    </row>
    <row r="196" spans="1:19" x14ac:dyDescent="0.35">
      <c r="A196">
        <v>1062</v>
      </c>
      <c r="B196" s="1">
        <v>45074</v>
      </c>
      <c r="C196" t="s">
        <v>14</v>
      </c>
      <c r="D196" t="s">
        <v>25</v>
      </c>
      <c r="E196">
        <v>7567.22</v>
      </c>
      <c r="F196">
        <v>28</v>
      </c>
      <c r="G196" t="s">
        <v>35</v>
      </c>
      <c r="H196">
        <v>933.16</v>
      </c>
      <c r="I196">
        <v>1004.69999999999</v>
      </c>
      <c r="J196" t="s">
        <v>17</v>
      </c>
      <c r="K196">
        <v>0.18</v>
      </c>
      <c r="L196" t="s">
        <v>27</v>
      </c>
      <c r="M196" t="s">
        <v>19</v>
      </c>
      <c r="N196" t="s">
        <v>32</v>
      </c>
      <c r="O196">
        <f>Table2[[#This Row],[Unit_Cost]]*Table2[[#This Row],[Quantity_Sold]]</f>
        <v>26128.48</v>
      </c>
      <c r="P196">
        <f t="shared" si="3"/>
        <v>-18561.259999999998</v>
      </c>
      <c r="Q196" s="3">
        <f>Table2[[#This Row],[Gross_Profit]]/Table2[[#This Row],[Sales_Amount]]</f>
        <v>-2.4528505844947017</v>
      </c>
      <c r="R196" t="str">
        <f>TEXT(Table2[[#This Row],[Sale_Date]],"mmmm")</f>
        <v>May</v>
      </c>
      <c r="S196" s="4">
        <f>YEAR(Table2[[#This Row],[Sale_Date]])</f>
        <v>2023</v>
      </c>
    </row>
    <row r="197" spans="1:19" x14ac:dyDescent="0.35">
      <c r="A197">
        <v>1077</v>
      </c>
      <c r="B197" s="1">
        <v>44937</v>
      </c>
      <c r="C197" t="s">
        <v>38</v>
      </c>
      <c r="D197" t="s">
        <v>15</v>
      </c>
      <c r="E197">
        <v>9192.42</v>
      </c>
      <c r="F197">
        <v>35</v>
      </c>
      <c r="G197" t="s">
        <v>35</v>
      </c>
      <c r="H197">
        <v>585.37</v>
      </c>
      <c r="I197">
        <v>970.49</v>
      </c>
      <c r="J197" t="s">
        <v>17</v>
      </c>
      <c r="K197">
        <v>0.15</v>
      </c>
      <c r="L197" t="s">
        <v>27</v>
      </c>
      <c r="M197" t="s">
        <v>22</v>
      </c>
      <c r="N197" t="s">
        <v>40</v>
      </c>
      <c r="O197">
        <f>Table2[[#This Row],[Unit_Cost]]*Table2[[#This Row],[Quantity_Sold]]</f>
        <v>20487.95</v>
      </c>
      <c r="P197">
        <f t="shared" si="3"/>
        <v>-11295.53</v>
      </c>
      <c r="Q197" s="3">
        <f>Table2[[#This Row],[Gross_Profit]]/Table2[[#This Row],[Sales_Amount]]</f>
        <v>-1.2287874139780386</v>
      </c>
      <c r="R197" t="str">
        <f>TEXT(Table2[[#This Row],[Sale_Date]],"mmmm")</f>
        <v>January</v>
      </c>
      <c r="S197" s="4">
        <f>YEAR(Table2[[#This Row],[Sale_Date]])</f>
        <v>2023</v>
      </c>
    </row>
    <row r="198" spans="1:19" x14ac:dyDescent="0.35">
      <c r="A198">
        <v>1003</v>
      </c>
      <c r="B198" s="1">
        <v>45180</v>
      </c>
      <c r="C198" t="s">
        <v>24</v>
      </c>
      <c r="D198" t="s">
        <v>34</v>
      </c>
      <c r="E198">
        <v>9514.19</v>
      </c>
      <c r="F198">
        <v>22</v>
      </c>
      <c r="G198" t="s">
        <v>26</v>
      </c>
      <c r="H198">
        <v>4218.43</v>
      </c>
      <c r="I198">
        <v>4331.42</v>
      </c>
      <c r="J198" t="s">
        <v>30</v>
      </c>
      <c r="K198">
        <v>0.26</v>
      </c>
      <c r="L198" t="s">
        <v>27</v>
      </c>
      <c r="M198" t="s">
        <v>19</v>
      </c>
      <c r="N198" t="s">
        <v>50</v>
      </c>
      <c r="O198">
        <f>Table2[[#This Row],[Unit_Cost]]*Table2[[#This Row],[Quantity_Sold]]</f>
        <v>92805.46</v>
      </c>
      <c r="P198">
        <f t="shared" si="3"/>
        <v>-83291.27</v>
      </c>
      <c r="Q198" s="3">
        <f>Table2[[#This Row],[Gross_Profit]]/Table2[[#This Row],[Sales_Amount]]</f>
        <v>-8.7544257577366018</v>
      </c>
      <c r="R198" t="str">
        <f>TEXT(Table2[[#This Row],[Sale_Date]],"mmmm")</f>
        <v>September</v>
      </c>
      <c r="S198" s="4">
        <f>YEAR(Table2[[#This Row],[Sale_Date]])</f>
        <v>2023</v>
      </c>
    </row>
    <row r="199" spans="1:19" x14ac:dyDescent="0.35">
      <c r="A199">
        <v>1070</v>
      </c>
      <c r="B199" s="1">
        <v>45256</v>
      </c>
      <c r="C199" t="s">
        <v>24</v>
      </c>
      <c r="D199" t="s">
        <v>15</v>
      </c>
      <c r="E199">
        <v>5813.51</v>
      </c>
      <c r="F199">
        <v>40</v>
      </c>
      <c r="G199" t="s">
        <v>16</v>
      </c>
      <c r="H199">
        <v>3089.96</v>
      </c>
      <c r="I199">
        <v>3258.45</v>
      </c>
      <c r="J199" t="s">
        <v>30</v>
      </c>
      <c r="K199">
        <v>0.28999999999999998</v>
      </c>
      <c r="L199" t="s">
        <v>18</v>
      </c>
      <c r="M199" t="s">
        <v>19</v>
      </c>
      <c r="N199" t="s">
        <v>45</v>
      </c>
      <c r="O199">
        <f>Table2[[#This Row],[Unit_Cost]]*Table2[[#This Row],[Quantity_Sold]]</f>
        <v>123598.39999999999</v>
      </c>
      <c r="P199">
        <f t="shared" si="3"/>
        <v>-117784.89</v>
      </c>
      <c r="Q199" s="3">
        <f>Table2[[#This Row],[Gross_Profit]]/Table2[[#This Row],[Sales_Amount]]</f>
        <v>-20.260546554491174</v>
      </c>
      <c r="R199" t="str">
        <f>TEXT(Table2[[#This Row],[Sale_Date]],"mmmm")</f>
        <v>November</v>
      </c>
      <c r="S199" s="4">
        <f>YEAR(Table2[[#This Row],[Sale_Date]])</f>
        <v>2023</v>
      </c>
    </row>
    <row r="200" spans="1:19" x14ac:dyDescent="0.35">
      <c r="A200">
        <v>1072</v>
      </c>
      <c r="B200" s="1">
        <v>45286</v>
      </c>
      <c r="C200" t="s">
        <v>33</v>
      </c>
      <c r="D200" t="s">
        <v>15</v>
      </c>
      <c r="E200">
        <v>3635.5</v>
      </c>
      <c r="F200">
        <v>23</v>
      </c>
      <c r="G200" t="s">
        <v>16</v>
      </c>
      <c r="H200">
        <v>1662.83</v>
      </c>
      <c r="I200">
        <v>2074.25</v>
      </c>
      <c r="J200" t="s">
        <v>30</v>
      </c>
      <c r="K200">
        <v>0.12</v>
      </c>
      <c r="L200" t="s">
        <v>27</v>
      </c>
      <c r="M200" t="s">
        <v>19</v>
      </c>
      <c r="N200" t="s">
        <v>53</v>
      </c>
      <c r="O200">
        <f>Table2[[#This Row],[Unit_Cost]]*Table2[[#This Row],[Quantity_Sold]]</f>
        <v>38245.089999999997</v>
      </c>
      <c r="P200">
        <f t="shared" si="3"/>
        <v>-34609.589999999997</v>
      </c>
      <c r="Q200" s="3">
        <f>Table2[[#This Row],[Gross_Profit]]/Table2[[#This Row],[Sales_Amount]]</f>
        <v>-9.5198982258286335</v>
      </c>
      <c r="R200" t="str">
        <f>TEXT(Table2[[#This Row],[Sale_Date]],"mmmm")</f>
        <v>December</v>
      </c>
      <c r="S200" s="4">
        <f>YEAR(Table2[[#This Row],[Sale_Date]])</f>
        <v>2023</v>
      </c>
    </row>
    <row r="201" spans="1:19" x14ac:dyDescent="0.35">
      <c r="A201">
        <v>1027</v>
      </c>
      <c r="B201" s="1">
        <v>44964</v>
      </c>
      <c r="C201" t="s">
        <v>14</v>
      </c>
      <c r="D201" t="s">
        <v>21</v>
      </c>
      <c r="E201">
        <v>7896.74</v>
      </c>
      <c r="F201">
        <v>3</v>
      </c>
      <c r="G201" t="s">
        <v>26</v>
      </c>
      <c r="H201">
        <v>999.09</v>
      </c>
      <c r="I201">
        <v>1271.99</v>
      </c>
      <c r="J201" t="s">
        <v>30</v>
      </c>
      <c r="K201">
        <v>0.15</v>
      </c>
      <c r="L201" t="s">
        <v>31</v>
      </c>
      <c r="M201" t="s">
        <v>19</v>
      </c>
      <c r="N201" t="s">
        <v>23</v>
      </c>
      <c r="O201">
        <f>Table2[[#This Row],[Unit_Cost]]*Table2[[#This Row],[Quantity_Sold]]</f>
        <v>2997.27</v>
      </c>
      <c r="P201">
        <f t="shared" si="3"/>
        <v>4899.4699999999993</v>
      </c>
      <c r="Q201" s="3">
        <f>Table2[[#This Row],[Gross_Profit]]/Table2[[#This Row],[Sales_Amount]]</f>
        <v>0.62044210648951337</v>
      </c>
      <c r="R201" t="str">
        <f>TEXT(Table2[[#This Row],[Sale_Date]],"mmmm")</f>
        <v>February</v>
      </c>
      <c r="S201" s="4">
        <f>YEAR(Table2[[#This Row],[Sale_Date]])</f>
        <v>2023</v>
      </c>
    </row>
    <row r="202" spans="1:19" x14ac:dyDescent="0.35">
      <c r="A202">
        <v>1009</v>
      </c>
      <c r="B202" s="1">
        <v>45060</v>
      </c>
      <c r="C202" t="s">
        <v>24</v>
      </c>
      <c r="D202" t="s">
        <v>21</v>
      </c>
      <c r="E202">
        <v>2584.91</v>
      </c>
      <c r="F202">
        <v>40</v>
      </c>
      <c r="G202" t="s">
        <v>16</v>
      </c>
      <c r="H202">
        <v>2799.71</v>
      </c>
      <c r="I202">
        <v>3231.08</v>
      </c>
      <c r="J202" t="s">
        <v>17</v>
      </c>
      <c r="K202">
        <v>0.28999999999999998</v>
      </c>
      <c r="L202" t="s">
        <v>31</v>
      </c>
      <c r="M202" t="s">
        <v>22</v>
      </c>
      <c r="N202" t="s">
        <v>47</v>
      </c>
      <c r="O202">
        <f>Table2[[#This Row],[Unit_Cost]]*Table2[[#This Row],[Quantity_Sold]]</f>
        <v>111988.4</v>
      </c>
      <c r="P202">
        <f t="shared" si="3"/>
        <v>-109403.48999999999</v>
      </c>
      <c r="Q202" s="3">
        <f>Table2[[#This Row],[Gross_Profit]]/Table2[[#This Row],[Sales_Amount]]</f>
        <v>-42.323906828477583</v>
      </c>
      <c r="R202" t="str">
        <f>TEXT(Table2[[#This Row],[Sale_Date]],"mmmm")</f>
        <v>May</v>
      </c>
      <c r="S202" s="4">
        <f>YEAR(Table2[[#This Row],[Sale_Date]])</f>
        <v>2023</v>
      </c>
    </row>
    <row r="203" spans="1:19" x14ac:dyDescent="0.35">
      <c r="A203">
        <v>1062</v>
      </c>
      <c r="B203" s="1">
        <v>45126</v>
      </c>
      <c r="C203" t="s">
        <v>33</v>
      </c>
      <c r="D203" t="s">
        <v>15</v>
      </c>
      <c r="E203">
        <v>5684.33</v>
      </c>
      <c r="F203">
        <v>10</v>
      </c>
      <c r="G203" t="s">
        <v>35</v>
      </c>
      <c r="H203">
        <v>2940.4</v>
      </c>
      <c r="I203">
        <v>3054.79</v>
      </c>
      <c r="J203" t="s">
        <v>17</v>
      </c>
      <c r="K203">
        <v>0.08</v>
      </c>
      <c r="L203" t="s">
        <v>31</v>
      </c>
      <c r="M203" t="s">
        <v>19</v>
      </c>
      <c r="N203" t="s">
        <v>53</v>
      </c>
      <c r="O203">
        <f>Table2[[#This Row],[Unit_Cost]]*Table2[[#This Row],[Quantity_Sold]]</f>
        <v>29404</v>
      </c>
      <c r="P203">
        <f t="shared" si="3"/>
        <v>-23719.67</v>
      </c>
      <c r="Q203" s="3">
        <f>Table2[[#This Row],[Gross_Profit]]/Table2[[#This Row],[Sales_Amount]]</f>
        <v>-4.1728172009717941</v>
      </c>
      <c r="R203" t="str">
        <f>TEXT(Table2[[#This Row],[Sale_Date]],"mmmm")</f>
        <v>July</v>
      </c>
      <c r="S203" s="4">
        <f>YEAR(Table2[[#This Row],[Sale_Date]])</f>
        <v>2023</v>
      </c>
    </row>
    <row r="204" spans="1:19" x14ac:dyDescent="0.35">
      <c r="A204">
        <v>1037</v>
      </c>
      <c r="B204" s="1">
        <v>44949</v>
      </c>
      <c r="C204" t="s">
        <v>33</v>
      </c>
      <c r="D204" t="s">
        <v>34</v>
      </c>
      <c r="E204">
        <v>3649.93</v>
      </c>
      <c r="F204">
        <v>25</v>
      </c>
      <c r="G204" t="s">
        <v>26</v>
      </c>
      <c r="H204">
        <v>1074.6199999999999</v>
      </c>
      <c r="I204">
        <v>1382.4299999999901</v>
      </c>
      <c r="J204" t="s">
        <v>17</v>
      </c>
      <c r="K204">
        <v>0.24</v>
      </c>
      <c r="L204" t="s">
        <v>31</v>
      </c>
      <c r="M204" t="s">
        <v>22</v>
      </c>
      <c r="N204" t="s">
        <v>36</v>
      </c>
      <c r="O204">
        <f>Table2[[#This Row],[Unit_Cost]]*Table2[[#This Row],[Quantity_Sold]]</f>
        <v>26865.499999999996</v>
      </c>
      <c r="P204">
        <f t="shared" si="3"/>
        <v>-23215.569999999996</v>
      </c>
      <c r="Q204" s="3">
        <f>Table2[[#This Row],[Gross_Profit]]/Table2[[#This Row],[Sales_Amount]]</f>
        <v>-6.3605521201776467</v>
      </c>
      <c r="R204" t="str">
        <f>TEXT(Table2[[#This Row],[Sale_Date]],"mmmm")</f>
        <v>January</v>
      </c>
      <c r="S204" s="4">
        <f>YEAR(Table2[[#This Row],[Sale_Date]])</f>
        <v>2023</v>
      </c>
    </row>
    <row r="205" spans="1:19" x14ac:dyDescent="0.3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c r="O205">
        <f>Table2[[#This Row],[Unit_Cost]]*Table2[[#This Row],[Quantity_Sold]]</f>
        <v>208958.54</v>
      </c>
      <c r="P205">
        <f t="shared" si="3"/>
        <v>-202357.89</v>
      </c>
      <c r="Q205" s="3">
        <f>Table2[[#This Row],[Gross_Profit]]/Table2[[#This Row],[Sales_Amount]]</f>
        <v>-30.657267087332311</v>
      </c>
      <c r="R205" t="str">
        <f>TEXT(Table2[[#This Row],[Sale_Date]],"mmmm")</f>
        <v>October</v>
      </c>
      <c r="S205" s="4">
        <f>YEAR(Table2[[#This Row],[Sale_Date]])</f>
        <v>2023</v>
      </c>
    </row>
    <row r="206" spans="1:19" x14ac:dyDescent="0.35">
      <c r="A206">
        <v>1051</v>
      </c>
      <c r="B206" s="1">
        <v>45272</v>
      </c>
      <c r="C206" t="s">
        <v>38</v>
      </c>
      <c r="D206" t="s">
        <v>15</v>
      </c>
      <c r="E206">
        <v>2479.9499999999998</v>
      </c>
      <c r="F206">
        <v>8</v>
      </c>
      <c r="G206" t="s">
        <v>29</v>
      </c>
      <c r="H206">
        <v>467.11</v>
      </c>
      <c r="I206">
        <v>792.21</v>
      </c>
      <c r="J206" t="s">
        <v>30</v>
      </c>
      <c r="K206">
        <v>0.2</v>
      </c>
      <c r="L206" t="s">
        <v>31</v>
      </c>
      <c r="M206" t="s">
        <v>19</v>
      </c>
      <c r="N206" t="s">
        <v>40</v>
      </c>
      <c r="O206">
        <f>Table2[[#This Row],[Unit_Cost]]*Table2[[#This Row],[Quantity_Sold]]</f>
        <v>3736.88</v>
      </c>
      <c r="P206">
        <f t="shared" si="3"/>
        <v>-1256.9300000000003</v>
      </c>
      <c r="Q206" s="3">
        <f>Table2[[#This Row],[Gross_Profit]]/Table2[[#This Row],[Sales_Amount]]</f>
        <v>-0.50683683138772972</v>
      </c>
      <c r="R206" t="str">
        <f>TEXT(Table2[[#This Row],[Sale_Date]],"mmmm")</f>
        <v>December</v>
      </c>
      <c r="S206" s="4">
        <f>YEAR(Table2[[#This Row],[Sale_Date]])</f>
        <v>2023</v>
      </c>
    </row>
    <row r="207" spans="1:19" x14ac:dyDescent="0.35">
      <c r="A207">
        <v>1044</v>
      </c>
      <c r="B207" s="1">
        <v>45228</v>
      </c>
      <c r="C207" t="s">
        <v>33</v>
      </c>
      <c r="D207" t="s">
        <v>15</v>
      </c>
      <c r="E207">
        <v>1996.77</v>
      </c>
      <c r="F207">
        <v>11</v>
      </c>
      <c r="G207" t="s">
        <v>29</v>
      </c>
      <c r="H207">
        <v>1812.66</v>
      </c>
      <c r="I207">
        <v>2196.3000000000002</v>
      </c>
      <c r="J207" t="s">
        <v>30</v>
      </c>
      <c r="K207">
        <v>0.08</v>
      </c>
      <c r="L207" t="s">
        <v>18</v>
      </c>
      <c r="M207" t="s">
        <v>19</v>
      </c>
      <c r="N207" t="s">
        <v>53</v>
      </c>
      <c r="O207">
        <f>Table2[[#This Row],[Unit_Cost]]*Table2[[#This Row],[Quantity_Sold]]</f>
        <v>19939.260000000002</v>
      </c>
      <c r="P207">
        <f t="shared" si="3"/>
        <v>-17942.490000000002</v>
      </c>
      <c r="Q207" s="3">
        <f>Table2[[#This Row],[Gross_Profit]]/Table2[[#This Row],[Sales_Amount]]</f>
        <v>-8.9857569975510465</v>
      </c>
      <c r="R207" t="str">
        <f>TEXT(Table2[[#This Row],[Sale_Date]],"mmmm")</f>
        <v>October</v>
      </c>
      <c r="S207" s="4">
        <f>YEAR(Table2[[#This Row],[Sale_Date]])</f>
        <v>2023</v>
      </c>
    </row>
    <row r="208" spans="1:19" x14ac:dyDescent="0.35">
      <c r="A208">
        <v>1024</v>
      </c>
      <c r="B208" s="1">
        <v>45289</v>
      </c>
      <c r="C208" t="s">
        <v>38</v>
      </c>
      <c r="D208" t="s">
        <v>15</v>
      </c>
      <c r="E208">
        <v>9190.57</v>
      </c>
      <c r="F208">
        <v>5</v>
      </c>
      <c r="G208" t="s">
        <v>16</v>
      </c>
      <c r="H208">
        <v>3417.9</v>
      </c>
      <c r="I208">
        <v>3714.52</v>
      </c>
      <c r="J208" t="s">
        <v>17</v>
      </c>
      <c r="K208">
        <v>0.27</v>
      </c>
      <c r="L208" t="s">
        <v>31</v>
      </c>
      <c r="M208" t="s">
        <v>22</v>
      </c>
      <c r="N208" t="s">
        <v>40</v>
      </c>
      <c r="O208">
        <f>Table2[[#This Row],[Unit_Cost]]*Table2[[#This Row],[Quantity_Sold]]</f>
        <v>17089.5</v>
      </c>
      <c r="P208">
        <f t="shared" si="3"/>
        <v>-7898.93</v>
      </c>
      <c r="Q208" s="3">
        <f>Table2[[#This Row],[Gross_Profit]]/Table2[[#This Row],[Sales_Amount]]</f>
        <v>-0.85946029462808082</v>
      </c>
      <c r="R208" t="str">
        <f>TEXT(Table2[[#This Row],[Sale_Date]],"mmmm")</f>
        <v>December</v>
      </c>
      <c r="S208" s="4">
        <f>YEAR(Table2[[#This Row],[Sale_Date]])</f>
        <v>2023</v>
      </c>
    </row>
    <row r="209" spans="1:19" x14ac:dyDescent="0.35">
      <c r="A209">
        <v>1079</v>
      </c>
      <c r="B209" s="1">
        <v>45144</v>
      </c>
      <c r="C209" t="s">
        <v>24</v>
      </c>
      <c r="D209" t="s">
        <v>15</v>
      </c>
      <c r="E209">
        <v>1107.8599999999999</v>
      </c>
      <c r="F209">
        <v>45</v>
      </c>
      <c r="G209" t="s">
        <v>29</v>
      </c>
      <c r="H209">
        <v>1406.9</v>
      </c>
      <c r="I209">
        <v>1547.35</v>
      </c>
      <c r="J209" t="s">
        <v>30</v>
      </c>
      <c r="K209">
        <v>0.17</v>
      </c>
      <c r="L209" t="s">
        <v>18</v>
      </c>
      <c r="M209" t="s">
        <v>22</v>
      </c>
      <c r="N209" t="s">
        <v>45</v>
      </c>
      <c r="O209">
        <f>Table2[[#This Row],[Unit_Cost]]*Table2[[#This Row],[Quantity_Sold]]</f>
        <v>63310.500000000007</v>
      </c>
      <c r="P209">
        <f t="shared" si="3"/>
        <v>-62202.640000000007</v>
      </c>
      <c r="Q209" s="3">
        <f>Table2[[#This Row],[Gross_Profit]]/Table2[[#This Row],[Sales_Amount]]</f>
        <v>-56.146661130467763</v>
      </c>
      <c r="R209" t="str">
        <f>TEXT(Table2[[#This Row],[Sale_Date]],"mmmm")</f>
        <v>August</v>
      </c>
      <c r="S209" s="4">
        <f>YEAR(Table2[[#This Row],[Sale_Date]])</f>
        <v>2023</v>
      </c>
    </row>
    <row r="210" spans="1:19" x14ac:dyDescent="0.35">
      <c r="A210">
        <v>1059</v>
      </c>
      <c r="B210" s="1">
        <v>45067</v>
      </c>
      <c r="C210" t="s">
        <v>42</v>
      </c>
      <c r="D210" t="s">
        <v>15</v>
      </c>
      <c r="E210">
        <v>5108.9799999999996</v>
      </c>
      <c r="F210">
        <v>37</v>
      </c>
      <c r="G210" t="s">
        <v>35</v>
      </c>
      <c r="H210">
        <v>4146.99</v>
      </c>
      <c r="I210">
        <v>4172.3499999999904</v>
      </c>
      <c r="J210" t="s">
        <v>17</v>
      </c>
      <c r="K210">
        <v>0.06</v>
      </c>
      <c r="L210" t="s">
        <v>18</v>
      </c>
      <c r="M210" t="s">
        <v>22</v>
      </c>
      <c r="N210" t="s">
        <v>49</v>
      </c>
      <c r="O210">
        <f>Table2[[#This Row],[Unit_Cost]]*Table2[[#This Row],[Quantity_Sold]]</f>
        <v>153438.63</v>
      </c>
      <c r="P210">
        <f t="shared" si="3"/>
        <v>-148329.65</v>
      </c>
      <c r="Q210" s="3">
        <f>Table2[[#This Row],[Gross_Profit]]/Table2[[#This Row],[Sales_Amount]]</f>
        <v>-29.033124028671086</v>
      </c>
      <c r="R210" t="str">
        <f>TEXT(Table2[[#This Row],[Sale_Date]],"mmmm")</f>
        <v>May</v>
      </c>
      <c r="S210" s="4">
        <f>YEAR(Table2[[#This Row],[Sale_Date]])</f>
        <v>2023</v>
      </c>
    </row>
    <row r="211" spans="1:19" x14ac:dyDescent="0.35">
      <c r="A211">
        <v>1032</v>
      </c>
      <c r="B211" s="1">
        <v>45030</v>
      </c>
      <c r="C211" t="s">
        <v>24</v>
      </c>
      <c r="D211" t="s">
        <v>15</v>
      </c>
      <c r="E211">
        <v>2286.44</v>
      </c>
      <c r="F211">
        <v>45</v>
      </c>
      <c r="G211" t="s">
        <v>29</v>
      </c>
      <c r="H211">
        <v>3712.35</v>
      </c>
      <c r="I211">
        <v>3780.88</v>
      </c>
      <c r="J211" t="s">
        <v>30</v>
      </c>
      <c r="K211">
        <v>7.0000000000000007E-2</v>
      </c>
      <c r="L211" t="s">
        <v>18</v>
      </c>
      <c r="M211" t="s">
        <v>22</v>
      </c>
      <c r="N211" t="s">
        <v>45</v>
      </c>
      <c r="O211">
        <f>Table2[[#This Row],[Unit_Cost]]*Table2[[#This Row],[Quantity_Sold]]</f>
        <v>167055.75</v>
      </c>
      <c r="P211">
        <f t="shared" si="3"/>
        <v>-164769.31</v>
      </c>
      <c r="Q211" s="3">
        <f>Table2[[#This Row],[Gross_Profit]]/Table2[[#This Row],[Sales_Amount]]</f>
        <v>-72.063692902503448</v>
      </c>
      <c r="R211" t="str">
        <f>TEXT(Table2[[#This Row],[Sale_Date]],"mmmm")</f>
        <v>April</v>
      </c>
      <c r="S211" s="4">
        <f>YEAR(Table2[[#This Row],[Sale_Date]])</f>
        <v>2023</v>
      </c>
    </row>
    <row r="212" spans="1:19" x14ac:dyDescent="0.35">
      <c r="A212">
        <v>1096</v>
      </c>
      <c r="B212" s="1">
        <v>45136</v>
      </c>
      <c r="C212" t="s">
        <v>33</v>
      </c>
      <c r="D212" t="s">
        <v>21</v>
      </c>
      <c r="E212">
        <v>485.41</v>
      </c>
      <c r="F212">
        <v>38</v>
      </c>
      <c r="G212" t="s">
        <v>35</v>
      </c>
      <c r="H212">
        <v>3955.66</v>
      </c>
      <c r="I212">
        <v>4270.59</v>
      </c>
      <c r="J212" t="s">
        <v>17</v>
      </c>
      <c r="K212">
        <v>0.15</v>
      </c>
      <c r="L212" t="s">
        <v>31</v>
      </c>
      <c r="M212" t="s">
        <v>19</v>
      </c>
      <c r="N212" t="s">
        <v>37</v>
      </c>
      <c r="O212">
        <f>Table2[[#This Row],[Unit_Cost]]*Table2[[#This Row],[Quantity_Sold]]</f>
        <v>150315.07999999999</v>
      </c>
      <c r="P212">
        <f t="shared" si="3"/>
        <v>-149829.66999999998</v>
      </c>
      <c r="Q212" s="3">
        <f>Table2[[#This Row],[Gross_Profit]]/Table2[[#This Row],[Sales_Amount]]</f>
        <v>-308.66622030860503</v>
      </c>
      <c r="R212" t="str">
        <f>TEXT(Table2[[#This Row],[Sale_Date]],"mmmm")</f>
        <v>July</v>
      </c>
      <c r="S212" s="4">
        <f>YEAR(Table2[[#This Row],[Sale_Date]])</f>
        <v>2023</v>
      </c>
    </row>
    <row r="213" spans="1:19" x14ac:dyDescent="0.35">
      <c r="A213">
        <v>1088</v>
      </c>
      <c r="B213" s="1">
        <v>45037</v>
      </c>
      <c r="C213" t="s">
        <v>33</v>
      </c>
      <c r="D213" t="s">
        <v>34</v>
      </c>
      <c r="E213">
        <v>456.59</v>
      </c>
      <c r="F213">
        <v>29</v>
      </c>
      <c r="G213" t="s">
        <v>16</v>
      </c>
      <c r="H213">
        <v>639.58000000000004</v>
      </c>
      <c r="I213">
        <v>1107.45</v>
      </c>
      <c r="J213" t="s">
        <v>30</v>
      </c>
      <c r="K213">
        <v>0.28999999999999998</v>
      </c>
      <c r="L213" t="s">
        <v>18</v>
      </c>
      <c r="M213" t="s">
        <v>22</v>
      </c>
      <c r="N213" t="s">
        <v>36</v>
      </c>
      <c r="O213">
        <f>Table2[[#This Row],[Unit_Cost]]*Table2[[#This Row],[Quantity_Sold]]</f>
        <v>18547.82</v>
      </c>
      <c r="P213">
        <f t="shared" si="3"/>
        <v>-18091.23</v>
      </c>
      <c r="Q213" s="3">
        <f>Table2[[#This Row],[Gross_Profit]]/Table2[[#This Row],[Sales_Amount]]</f>
        <v>-39.622484066668129</v>
      </c>
      <c r="R213" t="str">
        <f>TEXT(Table2[[#This Row],[Sale_Date]],"mmmm")</f>
        <v>April</v>
      </c>
      <c r="S213" s="4">
        <f>YEAR(Table2[[#This Row],[Sale_Date]])</f>
        <v>2023</v>
      </c>
    </row>
    <row r="214" spans="1:19" x14ac:dyDescent="0.35">
      <c r="A214">
        <v>1052</v>
      </c>
      <c r="B214" s="1">
        <v>45030</v>
      </c>
      <c r="C214" t="s">
        <v>24</v>
      </c>
      <c r="D214" t="s">
        <v>15</v>
      </c>
      <c r="E214">
        <v>1834.7</v>
      </c>
      <c r="F214">
        <v>5</v>
      </c>
      <c r="G214" t="s">
        <v>16</v>
      </c>
      <c r="H214">
        <v>745.71</v>
      </c>
      <c r="I214">
        <v>856.91</v>
      </c>
      <c r="J214" t="s">
        <v>17</v>
      </c>
      <c r="K214">
        <v>0.23</v>
      </c>
      <c r="L214" t="s">
        <v>27</v>
      </c>
      <c r="M214" t="s">
        <v>22</v>
      </c>
      <c r="N214" t="s">
        <v>45</v>
      </c>
      <c r="O214">
        <f>Table2[[#This Row],[Unit_Cost]]*Table2[[#This Row],[Quantity_Sold]]</f>
        <v>3728.55</v>
      </c>
      <c r="P214">
        <f t="shared" si="3"/>
        <v>-1893.8500000000001</v>
      </c>
      <c r="Q214" s="3">
        <f>Table2[[#This Row],[Gross_Profit]]/Table2[[#This Row],[Sales_Amount]]</f>
        <v>-1.0322396032048837</v>
      </c>
      <c r="R214" t="str">
        <f>TEXT(Table2[[#This Row],[Sale_Date]],"mmmm")</f>
        <v>April</v>
      </c>
      <c r="S214" s="4">
        <f>YEAR(Table2[[#This Row],[Sale_Date]])</f>
        <v>2023</v>
      </c>
    </row>
    <row r="215" spans="1:19" x14ac:dyDescent="0.35">
      <c r="A215">
        <v>1062</v>
      </c>
      <c r="B215" s="1">
        <v>45242</v>
      </c>
      <c r="C215" t="s">
        <v>38</v>
      </c>
      <c r="D215" t="s">
        <v>25</v>
      </c>
      <c r="E215">
        <v>8681.0300000000007</v>
      </c>
      <c r="F215">
        <v>9</v>
      </c>
      <c r="G215" t="s">
        <v>35</v>
      </c>
      <c r="H215">
        <v>1468.05</v>
      </c>
      <c r="I215">
        <v>1838.21</v>
      </c>
      <c r="J215" t="s">
        <v>30</v>
      </c>
      <c r="K215">
        <v>0.15</v>
      </c>
      <c r="L215" t="s">
        <v>27</v>
      </c>
      <c r="M215" t="s">
        <v>22</v>
      </c>
      <c r="N215" t="s">
        <v>39</v>
      </c>
      <c r="O215">
        <f>Table2[[#This Row],[Unit_Cost]]*Table2[[#This Row],[Quantity_Sold]]</f>
        <v>13212.449999999999</v>
      </c>
      <c r="P215">
        <f t="shared" si="3"/>
        <v>-4531.4199999999983</v>
      </c>
      <c r="Q215" s="3">
        <f>Table2[[#This Row],[Gross_Profit]]/Table2[[#This Row],[Sales_Amount]]</f>
        <v>-0.52199105405694923</v>
      </c>
      <c r="R215" t="str">
        <f>TEXT(Table2[[#This Row],[Sale_Date]],"mmmm")</f>
        <v>November</v>
      </c>
      <c r="S215" s="4">
        <f>YEAR(Table2[[#This Row],[Sale_Date]])</f>
        <v>2023</v>
      </c>
    </row>
    <row r="216" spans="1:19" x14ac:dyDescent="0.35">
      <c r="A216">
        <v>1058</v>
      </c>
      <c r="B216" s="1">
        <v>45097</v>
      </c>
      <c r="C216" t="s">
        <v>38</v>
      </c>
      <c r="D216" t="s">
        <v>21</v>
      </c>
      <c r="E216">
        <v>2896.54</v>
      </c>
      <c r="F216">
        <v>48</v>
      </c>
      <c r="G216" t="s">
        <v>29</v>
      </c>
      <c r="H216">
        <v>2614.48</v>
      </c>
      <c r="I216">
        <v>3049.04</v>
      </c>
      <c r="J216" t="s">
        <v>30</v>
      </c>
      <c r="K216">
        <v>0.1</v>
      </c>
      <c r="L216" t="s">
        <v>31</v>
      </c>
      <c r="M216" t="s">
        <v>22</v>
      </c>
      <c r="N216" t="s">
        <v>41</v>
      </c>
      <c r="O216">
        <f>Table2[[#This Row],[Unit_Cost]]*Table2[[#This Row],[Quantity_Sold]]</f>
        <v>125495.04000000001</v>
      </c>
      <c r="P216">
        <f t="shared" si="3"/>
        <v>-122598.50000000001</v>
      </c>
      <c r="Q216" s="3">
        <f>Table2[[#This Row],[Gross_Profit]]/Table2[[#This Row],[Sales_Amount]]</f>
        <v>-42.325843937939752</v>
      </c>
      <c r="R216" t="str">
        <f>TEXT(Table2[[#This Row],[Sale_Date]],"mmmm")</f>
        <v>June</v>
      </c>
      <c r="S216" s="4">
        <f>YEAR(Table2[[#This Row],[Sale_Date]])</f>
        <v>2023</v>
      </c>
    </row>
    <row r="217" spans="1:19" x14ac:dyDescent="0.35">
      <c r="A217">
        <v>1052</v>
      </c>
      <c r="B217" s="1">
        <v>45282</v>
      </c>
      <c r="C217" t="s">
        <v>33</v>
      </c>
      <c r="D217" t="s">
        <v>21</v>
      </c>
      <c r="E217">
        <v>9509.5499999999993</v>
      </c>
      <c r="F217">
        <v>2</v>
      </c>
      <c r="G217" t="s">
        <v>16</v>
      </c>
      <c r="H217">
        <v>3752.68</v>
      </c>
      <c r="I217">
        <v>4017.91</v>
      </c>
      <c r="J217" t="s">
        <v>17</v>
      </c>
      <c r="K217">
        <v>0.16</v>
      </c>
      <c r="L217" t="s">
        <v>27</v>
      </c>
      <c r="M217" t="s">
        <v>19</v>
      </c>
      <c r="N217" t="s">
        <v>37</v>
      </c>
      <c r="O217">
        <f>Table2[[#This Row],[Unit_Cost]]*Table2[[#This Row],[Quantity_Sold]]</f>
        <v>7505.36</v>
      </c>
      <c r="P217">
        <f t="shared" si="3"/>
        <v>2004.1899999999996</v>
      </c>
      <c r="Q217" s="3">
        <f>Table2[[#This Row],[Gross_Profit]]/Table2[[#This Row],[Sales_Amount]]</f>
        <v>0.21075550367788168</v>
      </c>
      <c r="R217" t="str">
        <f>TEXT(Table2[[#This Row],[Sale_Date]],"mmmm")</f>
        <v>December</v>
      </c>
      <c r="S217" s="4">
        <f>YEAR(Table2[[#This Row],[Sale_Date]])</f>
        <v>2023</v>
      </c>
    </row>
    <row r="218" spans="1:19" x14ac:dyDescent="0.35">
      <c r="A218">
        <v>1012</v>
      </c>
      <c r="B218" s="1">
        <v>45250</v>
      </c>
      <c r="C218" t="s">
        <v>14</v>
      </c>
      <c r="D218" t="s">
        <v>15</v>
      </c>
      <c r="E218">
        <v>5858.06</v>
      </c>
      <c r="F218">
        <v>1</v>
      </c>
      <c r="G218" t="s">
        <v>26</v>
      </c>
      <c r="H218">
        <v>4190.83</v>
      </c>
      <c r="I218">
        <v>4528.7699999999904</v>
      </c>
      <c r="J218" t="s">
        <v>17</v>
      </c>
      <c r="K218">
        <v>0.22</v>
      </c>
      <c r="L218" t="s">
        <v>27</v>
      </c>
      <c r="M218" t="s">
        <v>19</v>
      </c>
      <c r="N218" t="s">
        <v>20</v>
      </c>
      <c r="O218">
        <f>Table2[[#This Row],[Unit_Cost]]*Table2[[#This Row],[Quantity_Sold]]</f>
        <v>4190.83</v>
      </c>
      <c r="P218">
        <f t="shared" si="3"/>
        <v>1667.2300000000005</v>
      </c>
      <c r="Q218" s="3">
        <f>Table2[[#This Row],[Gross_Profit]]/Table2[[#This Row],[Sales_Amount]]</f>
        <v>0.28460445949683005</v>
      </c>
      <c r="R218" t="str">
        <f>TEXT(Table2[[#This Row],[Sale_Date]],"mmmm")</f>
        <v>November</v>
      </c>
      <c r="S218" s="4">
        <f>YEAR(Table2[[#This Row],[Sale_Date]])</f>
        <v>2023</v>
      </c>
    </row>
    <row r="219" spans="1:19" x14ac:dyDescent="0.35">
      <c r="A219">
        <v>1039</v>
      </c>
      <c r="B219" s="1">
        <v>45059</v>
      </c>
      <c r="C219" t="s">
        <v>38</v>
      </c>
      <c r="D219" t="s">
        <v>21</v>
      </c>
      <c r="E219">
        <v>4422.4799999999996</v>
      </c>
      <c r="F219">
        <v>40</v>
      </c>
      <c r="G219" t="s">
        <v>16</v>
      </c>
      <c r="H219">
        <v>3536.46</v>
      </c>
      <c r="I219">
        <v>3945.82</v>
      </c>
      <c r="J219" t="s">
        <v>30</v>
      </c>
      <c r="K219">
        <v>0.24</v>
      </c>
      <c r="L219" t="s">
        <v>27</v>
      </c>
      <c r="M219" t="s">
        <v>19</v>
      </c>
      <c r="N219" t="s">
        <v>41</v>
      </c>
      <c r="O219">
        <f>Table2[[#This Row],[Unit_Cost]]*Table2[[#This Row],[Quantity_Sold]]</f>
        <v>141458.4</v>
      </c>
      <c r="P219">
        <f t="shared" si="3"/>
        <v>-137035.91999999998</v>
      </c>
      <c r="Q219" s="3">
        <f>Table2[[#This Row],[Gross_Profit]]/Table2[[#This Row],[Sales_Amount]]</f>
        <v>-30.986215878873391</v>
      </c>
      <c r="R219" t="str">
        <f>TEXT(Table2[[#This Row],[Sale_Date]],"mmmm")</f>
        <v>May</v>
      </c>
      <c r="S219" s="4">
        <f>YEAR(Table2[[#This Row],[Sale_Date]])</f>
        <v>2023</v>
      </c>
    </row>
    <row r="220" spans="1:19" x14ac:dyDescent="0.35">
      <c r="A220">
        <v>1002</v>
      </c>
      <c r="B220" s="1">
        <v>45219</v>
      </c>
      <c r="C220" t="s">
        <v>24</v>
      </c>
      <c r="D220" t="s">
        <v>15</v>
      </c>
      <c r="E220">
        <v>5842.88</v>
      </c>
      <c r="F220">
        <v>30</v>
      </c>
      <c r="G220" t="s">
        <v>29</v>
      </c>
      <c r="H220">
        <v>4646.55</v>
      </c>
      <c r="I220">
        <v>4784.28</v>
      </c>
      <c r="J220" t="s">
        <v>17</v>
      </c>
      <c r="K220">
        <v>0.1</v>
      </c>
      <c r="L220" t="s">
        <v>31</v>
      </c>
      <c r="M220" t="s">
        <v>22</v>
      </c>
      <c r="N220" t="s">
        <v>45</v>
      </c>
      <c r="O220">
        <f>Table2[[#This Row],[Unit_Cost]]*Table2[[#This Row],[Quantity_Sold]]</f>
        <v>139396.5</v>
      </c>
      <c r="P220">
        <f t="shared" si="3"/>
        <v>-133553.62</v>
      </c>
      <c r="Q220" s="3">
        <f>Table2[[#This Row],[Gross_Profit]]/Table2[[#This Row],[Sales_Amount]]</f>
        <v>-22.857498356974641</v>
      </c>
      <c r="R220" t="str">
        <f>TEXT(Table2[[#This Row],[Sale_Date]],"mmmm")</f>
        <v>October</v>
      </c>
      <c r="S220" s="4">
        <f>YEAR(Table2[[#This Row],[Sale_Date]])</f>
        <v>2023</v>
      </c>
    </row>
    <row r="221" spans="1:19" x14ac:dyDescent="0.35">
      <c r="A221">
        <v>1003</v>
      </c>
      <c r="B221" s="1">
        <v>45254</v>
      </c>
      <c r="C221" t="s">
        <v>38</v>
      </c>
      <c r="D221" t="s">
        <v>34</v>
      </c>
      <c r="E221">
        <v>5215.3100000000004</v>
      </c>
      <c r="F221">
        <v>11</v>
      </c>
      <c r="G221" t="s">
        <v>26</v>
      </c>
      <c r="H221">
        <v>3706.78</v>
      </c>
      <c r="I221">
        <v>3862.26</v>
      </c>
      <c r="J221" t="s">
        <v>30</v>
      </c>
      <c r="K221">
        <v>0.22</v>
      </c>
      <c r="L221" t="s">
        <v>31</v>
      </c>
      <c r="M221" t="s">
        <v>22</v>
      </c>
      <c r="N221" t="s">
        <v>48</v>
      </c>
      <c r="O221">
        <f>Table2[[#This Row],[Unit_Cost]]*Table2[[#This Row],[Quantity_Sold]]</f>
        <v>40774.58</v>
      </c>
      <c r="P221">
        <f t="shared" si="3"/>
        <v>-35559.270000000004</v>
      </c>
      <c r="Q221" s="3">
        <f>Table2[[#This Row],[Gross_Profit]]/Table2[[#This Row],[Sales_Amount]]</f>
        <v>-6.8182466622310089</v>
      </c>
      <c r="R221" t="str">
        <f>TEXT(Table2[[#This Row],[Sale_Date]],"mmmm")</f>
        <v>November</v>
      </c>
      <c r="S221" s="4">
        <f>YEAR(Table2[[#This Row],[Sale_Date]])</f>
        <v>2023</v>
      </c>
    </row>
    <row r="222" spans="1:19" x14ac:dyDescent="0.35">
      <c r="A222">
        <v>1056</v>
      </c>
      <c r="B222" s="1">
        <v>45053</v>
      </c>
      <c r="C222" t="s">
        <v>24</v>
      </c>
      <c r="D222" t="s">
        <v>34</v>
      </c>
      <c r="E222">
        <v>7611.88</v>
      </c>
      <c r="F222">
        <v>28</v>
      </c>
      <c r="G222" t="s">
        <v>29</v>
      </c>
      <c r="H222">
        <v>1566.03</v>
      </c>
      <c r="I222">
        <v>1576.34</v>
      </c>
      <c r="J222" t="s">
        <v>17</v>
      </c>
      <c r="K222">
        <v>0.2</v>
      </c>
      <c r="L222" t="s">
        <v>27</v>
      </c>
      <c r="M222" t="s">
        <v>19</v>
      </c>
      <c r="N222" t="s">
        <v>50</v>
      </c>
      <c r="O222">
        <f>Table2[[#This Row],[Unit_Cost]]*Table2[[#This Row],[Quantity_Sold]]</f>
        <v>43848.84</v>
      </c>
      <c r="P222">
        <f t="shared" si="3"/>
        <v>-36236.959999999999</v>
      </c>
      <c r="Q222" s="3">
        <f>Table2[[#This Row],[Gross_Profit]]/Table2[[#This Row],[Sales_Amount]]</f>
        <v>-4.7605795151789048</v>
      </c>
      <c r="R222" t="str">
        <f>TEXT(Table2[[#This Row],[Sale_Date]],"mmmm")</f>
        <v>May</v>
      </c>
      <c r="S222" s="4">
        <f>YEAR(Table2[[#This Row],[Sale_Date]])</f>
        <v>2023</v>
      </c>
    </row>
    <row r="223" spans="1:19" x14ac:dyDescent="0.35">
      <c r="A223">
        <v>1081</v>
      </c>
      <c r="B223" s="1">
        <v>45032</v>
      </c>
      <c r="C223" t="s">
        <v>33</v>
      </c>
      <c r="D223" t="s">
        <v>21</v>
      </c>
      <c r="E223">
        <v>2896.71</v>
      </c>
      <c r="F223">
        <v>44</v>
      </c>
      <c r="G223" t="s">
        <v>35</v>
      </c>
      <c r="H223">
        <v>1362.15</v>
      </c>
      <c r="I223">
        <v>1844.07</v>
      </c>
      <c r="J223" t="s">
        <v>30</v>
      </c>
      <c r="K223">
        <v>0.28999999999999998</v>
      </c>
      <c r="L223" t="s">
        <v>31</v>
      </c>
      <c r="M223" t="s">
        <v>19</v>
      </c>
      <c r="N223" t="s">
        <v>37</v>
      </c>
      <c r="O223">
        <f>Table2[[#This Row],[Unit_Cost]]*Table2[[#This Row],[Quantity_Sold]]</f>
        <v>59934.600000000006</v>
      </c>
      <c r="P223">
        <f t="shared" si="3"/>
        <v>-57037.890000000007</v>
      </c>
      <c r="Q223" s="3">
        <f>Table2[[#This Row],[Gross_Profit]]/Table2[[#This Row],[Sales_Amount]]</f>
        <v>-19.690576550638486</v>
      </c>
      <c r="R223" t="str">
        <f>TEXT(Table2[[#This Row],[Sale_Date]],"mmmm")</f>
        <v>April</v>
      </c>
      <c r="S223" s="4">
        <f>YEAR(Table2[[#This Row],[Sale_Date]])</f>
        <v>2023</v>
      </c>
    </row>
    <row r="224" spans="1:19" x14ac:dyDescent="0.35">
      <c r="A224">
        <v>1059</v>
      </c>
      <c r="B224" s="1">
        <v>45018</v>
      </c>
      <c r="C224" t="s">
        <v>38</v>
      </c>
      <c r="D224" t="s">
        <v>21</v>
      </c>
      <c r="E224">
        <v>3595.2</v>
      </c>
      <c r="F224">
        <v>12</v>
      </c>
      <c r="G224" t="s">
        <v>26</v>
      </c>
      <c r="H224">
        <v>3496.15</v>
      </c>
      <c r="I224">
        <v>3955.75</v>
      </c>
      <c r="J224" t="s">
        <v>17</v>
      </c>
      <c r="K224">
        <v>0.28000000000000003</v>
      </c>
      <c r="L224" t="s">
        <v>18</v>
      </c>
      <c r="M224" t="s">
        <v>22</v>
      </c>
      <c r="N224" t="s">
        <v>41</v>
      </c>
      <c r="O224">
        <f>Table2[[#This Row],[Unit_Cost]]*Table2[[#This Row],[Quantity_Sold]]</f>
        <v>41953.8</v>
      </c>
      <c r="P224">
        <f t="shared" si="3"/>
        <v>-38358.600000000006</v>
      </c>
      <c r="Q224" s="3">
        <f>Table2[[#This Row],[Gross_Profit]]/Table2[[#This Row],[Sales_Amount]]</f>
        <v>-10.669392523364488</v>
      </c>
      <c r="R224" t="str">
        <f>TEXT(Table2[[#This Row],[Sale_Date]],"mmmm")</f>
        <v>April</v>
      </c>
      <c r="S224" s="4">
        <f>YEAR(Table2[[#This Row],[Sale_Date]])</f>
        <v>2023</v>
      </c>
    </row>
    <row r="225" spans="1:19" x14ac:dyDescent="0.35">
      <c r="A225">
        <v>1002</v>
      </c>
      <c r="B225" s="1">
        <v>45213</v>
      </c>
      <c r="C225" t="s">
        <v>24</v>
      </c>
      <c r="D225" t="s">
        <v>25</v>
      </c>
      <c r="E225">
        <v>8951.5300000000007</v>
      </c>
      <c r="F225">
        <v>39</v>
      </c>
      <c r="G225" t="s">
        <v>29</v>
      </c>
      <c r="H225">
        <v>1004.71</v>
      </c>
      <c r="I225">
        <v>1389.35</v>
      </c>
      <c r="J225" t="s">
        <v>30</v>
      </c>
      <c r="K225">
        <v>0.24</v>
      </c>
      <c r="L225" t="s">
        <v>27</v>
      </c>
      <c r="M225" t="s">
        <v>19</v>
      </c>
      <c r="N225" t="s">
        <v>28</v>
      </c>
      <c r="O225">
        <f>Table2[[#This Row],[Unit_Cost]]*Table2[[#This Row],[Quantity_Sold]]</f>
        <v>39183.69</v>
      </c>
      <c r="P225">
        <f t="shared" si="3"/>
        <v>-30232.160000000003</v>
      </c>
      <c r="Q225" s="3">
        <f>Table2[[#This Row],[Gross_Profit]]/Table2[[#This Row],[Sales_Amount]]</f>
        <v>-3.377317620563189</v>
      </c>
      <c r="R225" t="str">
        <f>TEXT(Table2[[#This Row],[Sale_Date]],"mmmm")</f>
        <v>October</v>
      </c>
      <c r="S225" s="4">
        <f>YEAR(Table2[[#This Row],[Sale_Date]])</f>
        <v>2023</v>
      </c>
    </row>
    <row r="226" spans="1:19" x14ac:dyDescent="0.35">
      <c r="A226">
        <v>1002</v>
      </c>
      <c r="B226" s="1">
        <v>44977</v>
      </c>
      <c r="C226" t="s">
        <v>33</v>
      </c>
      <c r="D226" t="s">
        <v>21</v>
      </c>
      <c r="E226">
        <v>9469.92</v>
      </c>
      <c r="F226">
        <v>26</v>
      </c>
      <c r="G226" t="s">
        <v>26</v>
      </c>
      <c r="H226">
        <v>508.94</v>
      </c>
      <c r="I226">
        <v>557.69000000000005</v>
      </c>
      <c r="J226" t="s">
        <v>30</v>
      </c>
      <c r="K226">
        <v>0.22</v>
      </c>
      <c r="L226" t="s">
        <v>31</v>
      </c>
      <c r="M226" t="s">
        <v>22</v>
      </c>
      <c r="N226" t="s">
        <v>37</v>
      </c>
      <c r="O226">
        <f>Table2[[#This Row],[Unit_Cost]]*Table2[[#This Row],[Quantity_Sold]]</f>
        <v>13232.44</v>
      </c>
      <c r="P226">
        <f t="shared" si="3"/>
        <v>-3762.5200000000004</v>
      </c>
      <c r="Q226" s="3">
        <f>Table2[[#This Row],[Gross_Profit]]/Table2[[#This Row],[Sales_Amount]]</f>
        <v>-0.3973127544900063</v>
      </c>
      <c r="R226" t="str">
        <f>TEXT(Table2[[#This Row],[Sale_Date]],"mmmm")</f>
        <v>February</v>
      </c>
      <c r="S226" s="4">
        <f>YEAR(Table2[[#This Row],[Sale_Date]])</f>
        <v>2023</v>
      </c>
    </row>
    <row r="227" spans="1:19" x14ac:dyDescent="0.35">
      <c r="A227">
        <v>1092</v>
      </c>
      <c r="B227" s="1">
        <v>44955</v>
      </c>
      <c r="C227" t="s">
        <v>14</v>
      </c>
      <c r="D227" t="s">
        <v>25</v>
      </c>
      <c r="E227">
        <v>8936.33</v>
      </c>
      <c r="F227">
        <v>13</v>
      </c>
      <c r="G227" t="s">
        <v>29</v>
      </c>
      <c r="H227">
        <v>2684.5</v>
      </c>
      <c r="I227">
        <v>2913.78</v>
      </c>
      <c r="J227" t="s">
        <v>30</v>
      </c>
      <c r="K227">
        <v>0.08</v>
      </c>
      <c r="L227" t="s">
        <v>31</v>
      </c>
      <c r="M227" t="s">
        <v>22</v>
      </c>
      <c r="N227" t="s">
        <v>32</v>
      </c>
      <c r="O227">
        <f>Table2[[#This Row],[Unit_Cost]]*Table2[[#This Row],[Quantity_Sold]]</f>
        <v>34898.5</v>
      </c>
      <c r="P227">
        <f t="shared" si="3"/>
        <v>-25962.17</v>
      </c>
      <c r="Q227" s="3">
        <f>Table2[[#This Row],[Gross_Profit]]/Table2[[#This Row],[Sales_Amount]]</f>
        <v>-2.9052385039496076</v>
      </c>
      <c r="R227" t="str">
        <f>TEXT(Table2[[#This Row],[Sale_Date]],"mmmm")</f>
        <v>January</v>
      </c>
      <c r="S227" s="4">
        <f>YEAR(Table2[[#This Row],[Sale_Date]])</f>
        <v>2023</v>
      </c>
    </row>
    <row r="228" spans="1:19" x14ac:dyDescent="0.35">
      <c r="A228">
        <v>1054</v>
      </c>
      <c r="B228" s="1">
        <v>45222</v>
      </c>
      <c r="C228" t="s">
        <v>24</v>
      </c>
      <c r="D228" t="s">
        <v>34</v>
      </c>
      <c r="E228">
        <v>4252.54</v>
      </c>
      <c r="F228">
        <v>8</v>
      </c>
      <c r="G228" t="s">
        <v>26</v>
      </c>
      <c r="H228">
        <v>4117.13</v>
      </c>
      <c r="I228">
        <v>4177.0600000000004</v>
      </c>
      <c r="J228" t="s">
        <v>17</v>
      </c>
      <c r="K228">
        <v>0.25</v>
      </c>
      <c r="L228" t="s">
        <v>27</v>
      </c>
      <c r="M228" t="s">
        <v>22</v>
      </c>
      <c r="N228" t="s">
        <v>50</v>
      </c>
      <c r="O228">
        <f>Table2[[#This Row],[Unit_Cost]]*Table2[[#This Row],[Quantity_Sold]]</f>
        <v>32937.040000000001</v>
      </c>
      <c r="P228">
        <f t="shared" si="3"/>
        <v>-28684.5</v>
      </c>
      <c r="Q228" s="3">
        <f>Table2[[#This Row],[Gross_Profit]]/Table2[[#This Row],[Sales_Amount]]</f>
        <v>-6.7452628311550278</v>
      </c>
      <c r="R228" t="str">
        <f>TEXT(Table2[[#This Row],[Sale_Date]],"mmmm")</f>
        <v>October</v>
      </c>
      <c r="S228" s="4">
        <f>YEAR(Table2[[#This Row],[Sale_Date]])</f>
        <v>2023</v>
      </c>
    </row>
    <row r="229" spans="1:19" x14ac:dyDescent="0.35">
      <c r="A229">
        <v>1087</v>
      </c>
      <c r="B229" s="1">
        <v>45223</v>
      </c>
      <c r="C229" t="s">
        <v>14</v>
      </c>
      <c r="D229" t="s">
        <v>34</v>
      </c>
      <c r="E229">
        <v>7825.62</v>
      </c>
      <c r="F229">
        <v>28</v>
      </c>
      <c r="G229" t="s">
        <v>29</v>
      </c>
      <c r="H229">
        <v>551.83000000000004</v>
      </c>
      <c r="I229">
        <v>569.63</v>
      </c>
      <c r="J229" t="s">
        <v>30</v>
      </c>
      <c r="K229">
        <v>0.13</v>
      </c>
      <c r="L229" t="s">
        <v>31</v>
      </c>
      <c r="M229" t="s">
        <v>22</v>
      </c>
      <c r="N229" t="s">
        <v>46</v>
      </c>
      <c r="O229">
        <f>Table2[[#This Row],[Unit_Cost]]*Table2[[#This Row],[Quantity_Sold]]</f>
        <v>15451.240000000002</v>
      </c>
      <c r="P229">
        <f t="shared" si="3"/>
        <v>-7625.6200000000017</v>
      </c>
      <c r="Q229" s="3">
        <f>Table2[[#This Row],[Gross_Profit]]/Table2[[#This Row],[Sales_Amount]]</f>
        <v>-0.97444291953864381</v>
      </c>
      <c r="R229" t="str">
        <f>TEXT(Table2[[#This Row],[Sale_Date]],"mmmm")</f>
        <v>October</v>
      </c>
      <c r="S229" s="4">
        <f>YEAR(Table2[[#This Row],[Sale_Date]])</f>
        <v>2023</v>
      </c>
    </row>
    <row r="230" spans="1:19" x14ac:dyDescent="0.35">
      <c r="A230">
        <v>1096</v>
      </c>
      <c r="B230" s="1">
        <v>45140</v>
      </c>
      <c r="C230" t="s">
        <v>14</v>
      </c>
      <c r="D230" t="s">
        <v>15</v>
      </c>
      <c r="E230">
        <v>4815.72</v>
      </c>
      <c r="F230">
        <v>30</v>
      </c>
      <c r="G230" t="s">
        <v>35</v>
      </c>
      <c r="H230">
        <v>3969.86</v>
      </c>
      <c r="I230">
        <v>4281.79</v>
      </c>
      <c r="J230" t="s">
        <v>17</v>
      </c>
      <c r="K230">
        <v>0.08</v>
      </c>
      <c r="L230" t="s">
        <v>27</v>
      </c>
      <c r="M230" t="s">
        <v>22</v>
      </c>
      <c r="N230" t="s">
        <v>20</v>
      </c>
      <c r="O230">
        <f>Table2[[#This Row],[Unit_Cost]]*Table2[[#This Row],[Quantity_Sold]]</f>
        <v>119095.8</v>
      </c>
      <c r="P230">
        <f t="shared" si="3"/>
        <v>-114280.08</v>
      </c>
      <c r="Q230" s="3">
        <f>Table2[[#This Row],[Gross_Profit]]/Table2[[#This Row],[Sales_Amount]]</f>
        <v>-23.730632179611771</v>
      </c>
      <c r="R230" t="str">
        <f>TEXT(Table2[[#This Row],[Sale_Date]],"mmmm")</f>
        <v>August</v>
      </c>
      <c r="S230" s="4">
        <f>YEAR(Table2[[#This Row],[Sale_Date]])</f>
        <v>2023</v>
      </c>
    </row>
    <row r="231" spans="1:19" x14ac:dyDescent="0.35">
      <c r="A231">
        <v>1097</v>
      </c>
      <c r="B231" s="1">
        <v>45193</v>
      </c>
      <c r="C231" t="s">
        <v>42</v>
      </c>
      <c r="D231" t="s">
        <v>34</v>
      </c>
      <c r="E231">
        <v>5025.6400000000003</v>
      </c>
      <c r="F231">
        <v>9</v>
      </c>
      <c r="G231" t="s">
        <v>26</v>
      </c>
      <c r="H231">
        <v>4067.28</v>
      </c>
      <c r="I231">
        <v>4548.09</v>
      </c>
      <c r="J231" t="s">
        <v>17</v>
      </c>
      <c r="K231">
        <v>0.12</v>
      </c>
      <c r="L231" t="s">
        <v>31</v>
      </c>
      <c r="M231" t="s">
        <v>22</v>
      </c>
      <c r="N231" t="s">
        <v>52</v>
      </c>
      <c r="O231">
        <f>Table2[[#This Row],[Unit_Cost]]*Table2[[#This Row],[Quantity_Sold]]</f>
        <v>36605.520000000004</v>
      </c>
      <c r="P231">
        <f t="shared" si="3"/>
        <v>-31579.880000000005</v>
      </c>
      <c r="Q231" s="3">
        <f>Table2[[#This Row],[Gross_Profit]]/Table2[[#This Row],[Sales_Amount]]</f>
        <v>-6.2837529150516156</v>
      </c>
      <c r="R231" t="str">
        <f>TEXT(Table2[[#This Row],[Sale_Date]],"mmmm")</f>
        <v>September</v>
      </c>
      <c r="S231" s="4">
        <f>YEAR(Table2[[#This Row],[Sale_Date]])</f>
        <v>2023</v>
      </c>
    </row>
    <row r="232" spans="1:19" x14ac:dyDescent="0.35">
      <c r="A232">
        <v>1001</v>
      </c>
      <c r="B232" s="1">
        <v>45183</v>
      </c>
      <c r="C232" t="s">
        <v>38</v>
      </c>
      <c r="D232" t="s">
        <v>25</v>
      </c>
      <c r="E232">
        <v>2126.33</v>
      </c>
      <c r="F232">
        <v>39</v>
      </c>
      <c r="G232" t="s">
        <v>26</v>
      </c>
      <c r="H232">
        <v>2437.2600000000002</v>
      </c>
      <c r="I232">
        <v>2889.67</v>
      </c>
      <c r="J232" t="s">
        <v>17</v>
      </c>
      <c r="K232">
        <v>0.25</v>
      </c>
      <c r="L232" t="s">
        <v>18</v>
      </c>
      <c r="M232" t="s">
        <v>19</v>
      </c>
      <c r="N232" t="s">
        <v>39</v>
      </c>
      <c r="O232">
        <f>Table2[[#This Row],[Unit_Cost]]*Table2[[#This Row],[Quantity_Sold]]</f>
        <v>95053.140000000014</v>
      </c>
      <c r="P232">
        <f t="shared" si="3"/>
        <v>-92926.810000000012</v>
      </c>
      <c r="Q232" s="3">
        <f>Table2[[#This Row],[Gross_Profit]]/Table2[[#This Row],[Sales_Amount]]</f>
        <v>-43.702910648864481</v>
      </c>
      <c r="R232" t="str">
        <f>TEXT(Table2[[#This Row],[Sale_Date]],"mmmm")</f>
        <v>September</v>
      </c>
      <c r="S232" s="4">
        <f>YEAR(Table2[[#This Row],[Sale_Date]])</f>
        <v>2023</v>
      </c>
    </row>
    <row r="233" spans="1:19" x14ac:dyDescent="0.35">
      <c r="A233">
        <v>1019</v>
      </c>
      <c r="B233" s="1">
        <v>45228</v>
      </c>
      <c r="C233" t="s">
        <v>24</v>
      </c>
      <c r="D233" t="s">
        <v>21</v>
      </c>
      <c r="E233">
        <v>5952.19</v>
      </c>
      <c r="F233">
        <v>31</v>
      </c>
      <c r="G233" t="s">
        <v>26</v>
      </c>
      <c r="H233">
        <v>333.69</v>
      </c>
      <c r="I233">
        <v>685.1</v>
      </c>
      <c r="J233" t="s">
        <v>30</v>
      </c>
      <c r="K233">
        <v>0.04</v>
      </c>
      <c r="L233" t="s">
        <v>27</v>
      </c>
      <c r="M233" t="s">
        <v>19</v>
      </c>
      <c r="N233" t="s">
        <v>47</v>
      </c>
      <c r="O233">
        <f>Table2[[#This Row],[Unit_Cost]]*Table2[[#This Row],[Quantity_Sold]]</f>
        <v>10344.39</v>
      </c>
      <c r="P233">
        <f t="shared" si="3"/>
        <v>-4392.2</v>
      </c>
      <c r="Q233" s="3">
        <f>Table2[[#This Row],[Gross_Profit]]/Table2[[#This Row],[Sales_Amount]]</f>
        <v>-0.73791327225777403</v>
      </c>
      <c r="R233" t="str">
        <f>TEXT(Table2[[#This Row],[Sale_Date]],"mmmm")</f>
        <v>October</v>
      </c>
      <c r="S233" s="4">
        <f>YEAR(Table2[[#This Row],[Sale_Date]])</f>
        <v>2023</v>
      </c>
    </row>
    <row r="234" spans="1:19" x14ac:dyDescent="0.35">
      <c r="A234">
        <v>1002</v>
      </c>
      <c r="B234" s="1">
        <v>45027</v>
      </c>
      <c r="C234" t="s">
        <v>14</v>
      </c>
      <c r="D234" t="s">
        <v>15</v>
      </c>
      <c r="E234">
        <v>1942.75</v>
      </c>
      <c r="F234">
        <v>21</v>
      </c>
      <c r="G234" t="s">
        <v>26</v>
      </c>
      <c r="H234">
        <v>914.22</v>
      </c>
      <c r="I234">
        <v>971.57</v>
      </c>
      <c r="J234" t="s">
        <v>17</v>
      </c>
      <c r="K234">
        <v>0.14000000000000001</v>
      </c>
      <c r="L234" t="s">
        <v>18</v>
      </c>
      <c r="M234" t="s">
        <v>19</v>
      </c>
      <c r="N234" t="s">
        <v>20</v>
      </c>
      <c r="O234">
        <f>Table2[[#This Row],[Unit_Cost]]*Table2[[#This Row],[Quantity_Sold]]</f>
        <v>19198.62</v>
      </c>
      <c r="P234">
        <f t="shared" si="3"/>
        <v>-17255.87</v>
      </c>
      <c r="Q234" s="3">
        <f>Table2[[#This Row],[Gross_Profit]]/Table2[[#This Row],[Sales_Amount]]</f>
        <v>-8.8821876206408437</v>
      </c>
      <c r="R234" t="str">
        <f>TEXT(Table2[[#This Row],[Sale_Date]],"mmmm")</f>
        <v>April</v>
      </c>
      <c r="S234" s="4">
        <f>YEAR(Table2[[#This Row],[Sale_Date]])</f>
        <v>2023</v>
      </c>
    </row>
    <row r="235" spans="1:19" x14ac:dyDescent="0.35">
      <c r="A235">
        <v>1053</v>
      </c>
      <c r="B235" s="1">
        <v>45272</v>
      </c>
      <c r="C235" t="s">
        <v>42</v>
      </c>
      <c r="D235" t="s">
        <v>25</v>
      </c>
      <c r="E235">
        <v>3382.49</v>
      </c>
      <c r="F235">
        <v>47</v>
      </c>
      <c r="G235" t="s">
        <v>35</v>
      </c>
      <c r="H235">
        <v>3551.76</v>
      </c>
      <c r="I235">
        <v>3696.1</v>
      </c>
      <c r="J235" t="s">
        <v>17</v>
      </c>
      <c r="K235">
        <v>0.15</v>
      </c>
      <c r="L235" t="s">
        <v>27</v>
      </c>
      <c r="M235" t="s">
        <v>22</v>
      </c>
      <c r="N235" t="s">
        <v>43</v>
      </c>
      <c r="O235">
        <f>Table2[[#This Row],[Unit_Cost]]*Table2[[#This Row],[Quantity_Sold]]</f>
        <v>166932.72</v>
      </c>
      <c r="P235">
        <f t="shared" si="3"/>
        <v>-163550.23000000001</v>
      </c>
      <c r="Q235" s="3">
        <f>Table2[[#This Row],[Gross_Profit]]/Table2[[#This Row],[Sales_Amount]]</f>
        <v>-48.352021735467076</v>
      </c>
      <c r="R235" t="str">
        <f>TEXT(Table2[[#This Row],[Sale_Date]],"mmmm")</f>
        <v>December</v>
      </c>
      <c r="S235" s="4">
        <f>YEAR(Table2[[#This Row],[Sale_Date]])</f>
        <v>2023</v>
      </c>
    </row>
    <row r="236" spans="1:19" x14ac:dyDescent="0.35">
      <c r="A236">
        <v>1044</v>
      </c>
      <c r="B236" s="1">
        <v>45036</v>
      </c>
      <c r="C236" t="s">
        <v>33</v>
      </c>
      <c r="D236" t="s">
        <v>21</v>
      </c>
      <c r="E236">
        <v>8564.7999999999993</v>
      </c>
      <c r="F236">
        <v>34</v>
      </c>
      <c r="G236" t="s">
        <v>26</v>
      </c>
      <c r="H236">
        <v>3573.3</v>
      </c>
      <c r="I236">
        <v>3740.13</v>
      </c>
      <c r="J236" t="s">
        <v>17</v>
      </c>
      <c r="K236">
        <v>0.01</v>
      </c>
      <c r="L236" t="s">
        <v>31</v>
      </c>
      <c r="M236" t="s">
        <v>19</v>
      </c>
      <c r="N236" t="s">
        <v>37</v>
      </c>
      <c r="O236">
        <f>Table2[[#This Row],[Unit_Cost]]*Table2[[#This Row],[Quantity_Sold]]</f>
        <v>121492.20000000001</v>
      </c>
      <c r="P236">
        <f t="shared" si="3"/>
        <v>-112927.40000000001</v>
      </c>
      <c r="Q236" s="3">
        <f>Table2[[#This Row],[Gross_Profit]]/Table2[[#This Row],[Sales_Amount]]</f>
        <v>-13.185059779562865</v>
      </c>
      <c r="R236" t="str">
        <f>TEXT(Table2[[#This Row],[Sale_Date]],"mmmm")</f>
        <v>April</v>
      </c>
      <c r="S236" s="4">
        <f>YEAR(Table2[[#This Row],[Sale_Date]])</f>
        <v>2023</v>
      </c>
    </row>
    <row r="237" spans="1:19" x14ac:dyDescent="0.3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c r="O237">
        <f>Table2[[#This Row],[Unit_Cost]]*Table2[[#This Row],[Quantity_Sold]]</f>
        <v>139402.66</v>
      </c>
      <c r="P237">
        <f t="shared" si="3"/>
        <v>-137252.61000000002</v>
      </c>
      <c r="Q237" s="3">
        <f>Table2[[#This Row],[Gross_Profit]]/Table2[[#This Row],[Sales_Amount]]</f>
        <v>-63.836938675844749</v>
      </c>
      <c r="R237" t="str">
        <f>TEXT(Table2[[#This Row],[Sale_Date]],"mmmm")</f>
        <v>July</v>
      </c>
      <c r="S237" s="4">
        <f>YEAR(Table2[[#This Row],[Sale_Date]])</f>
        <v>2023</v>
      </c>
    </row>
    <row r="238" spans="1:19" x14ac:dyDescent="0.35">
      <c r="A238">
        <v>1032</v>
      </c>
      <c r="B238" s="1">
        <v>45239</v>
      </c>
      <c r="C238" t="s">
        <v>14</v>
      </c>
      <c r="D238" t="s">
        <v>34</v>
      </c>
      <c r="E238">
        <v>804.47</v>
      </c>
      <c r="F238">
        <v>25</v>
      </c>
      <c r="G238" t="s">
        <v>35</v>
      </c>
      <c r="H238">
        <v>2934.3</v>
      </c>
      <c r="I238">
        <v>3337.4</v>
      </c>
      <c r="J238" t="s">
        <v>17</v>
      </c>
      <c r="K238">
        <v>0.25</v>
      </c>
      <c r="L238" t="s">
        <v>31</v>
      </c>
      <c r="M238" t="s">
        <v>22</v>
      </c>
      <c r="N238" t="s">
        <v>46</v>
      </c>
      <c r="O238">
        <f>Table2[[#This Row],[Unit_Cost]]*Table2[[#This Row],[Quantity_Sold]]</f>
        <v>73357.5</v>
      </c>
      <c r="P238">
        <f t="shared" si="3"/>
        <v>-72553.03</v>
      </c>
      <c r="Q238" s="3">
        <f>Table2[[#This Row],[Gross_Profit]]/Table2[[#This Row],[Sales_Amount]]</f>
        <v>-90.18736559473939</v>
      </c>
      <c r="R238" t="str">
        <f>TEXT(Table2[[#This Row],[Sale_Date]],"mmmm")</f>
        <v>November</v>
      </c>
      <c r="S238" s="4">
        <f>YEAR(Table2[[#This Row],[Sale_Date]])</f>
        <v>2023</v>
      </c>
    </row>
    <row r="239" spans="1:19" x14ac:dyDescent="0.35">
      <c r="A239">
        <v>1070</v>
      </c>
      <c r="B239" s="1">
        <v>44927</v>
      </c>
      <c r="C239" t="s">
        <v>38</v>
      </c>
      <c r="D239" t="s">
        <v>25</v>
      </c>
      <c r="E239">
        <v>783.18</v>
      </c>
      <c r="F239">
        <v>12</v>
      </c>
      <c r="G239" t="s">
        <v>16</v>
      </c>
      <c r="H239">
        <v>664.33</v>
      </c>
      <c r="I239">
        <v>863.03</v>
      </c>
      <c r="J239" t="s">
        <v>17</v>
      </c>
      <c r="K239">
        <v>0.25</v>
      </c>
      <c r="L239" t="s">
        <v>27</v>
      </c>
      <c r="M239" t="s">
        <v>22</v>
      </c>
      <c r="N239" t="s">
        <v>39</v>
      </c>
      <c r="O239">
        <f>Table2[[#This Row],[Unit_Cost]]*Table2[[#This Row],[Quantity_Sold]]</f>
        <v>7971.9600000000009</v>
      </c>
      <c r="P239">
        <f t="shared" si="3"/>
        <v>-7188.7800000000007</v>
      </c>
      <c r="Q239" s="3">
        <f>Table2[[#This Row],[Gross_Profit]]/Table2[[#This Row],[Sales_Amount]]</f>
        <v>-9.1789626905692199</v>
      </c>
      <c r="R239" t="str">
        <f>TEXT(Table2[[#This Row],[Sale_Date]],"mmmm")</f>
        <v>January</v>
      </c>
      <c r="S239" s="4">
        <f>YEAR(Table2[[#This Row],[Sale_Date]])</f>
        <v>2023</v>
      </c>
    </row>
    <row r="240" spans="1:19" x14ac:dyDescent="0.35">
      <c r="A240">
        <v>1032</v>
      </c>
      <c r="B240" s="1">
        <v>45245</v>
      </c>
      <c r="C240" t="s">
        <v>42</v>
      </c>
      <c r="D240" t="s">
        <v>21</v>
      </c>
      <c r="E240">
        <v>9413.77</v>
      </c>
      <c r="F240">
        <v>1</v>
      </c>
      <c r="G240" t="s">
        <v>26</v>
      </c>
      <c r="H240">
        <v>651</v>
      </c>
      <c r="I240">
        <v>865.76</v>
      </c>
      <c r="J240" t="s">
        <v>17</v>
      </c>
      <c r="K240">
        <v>0.09</v>
      </c>
      <c r="L240" t="s">
        <v>27</v>
      </c>
      <c r="M240" t="s">
        <v>22</v>
      </c>
      <c r="N240" t="s">
        <v>51</v>
      </c>
      <c r="O240">
        <f>Table2[[#This Row],[Unit_Cost]]*Table2[[#This Row],[Quantity_Sold]]</f>
        <v>651</v>
      </c>
      <c r="P240">
        <f t="shared" si="3"/>
        <v>8762.77</v>
      </c>
      <c r="Q240" s="3">
        <f>Table2[[#This Row],[Gross_Profit]]/Table2[[#This Row],[Sales_Amount]]</f>
        <v>0.93084598412750685</v>
      </c>
      <c r="R240" t="str">
        <f>TEXT(Table2[[#This Row],[Sale_Date]],"mmmm")</f>
        <v>November</v>
      </c>
      <c r="S240" s="4">
        <f>YEAR(Table2[[#This Row],[Sale_Date]])</f>
        <v>2023</v>
      </c>
    </row>
    <row r="241" spans="1:19" x14ac:dyDescent="0.35">
      <c r="A241">
        <v>1068</v>
      </c>
      <c r="B241" s="1">
        <v>44981</v>
      </c>
      <c r="C241" t="s">
        <v>14</v>
      </c>
      <c r="D241" t="s">
        <v>15</v>
      </c>
      <c r="E241">
        <v>5118.51</v>
      </c>
      <c r="F241">
        <v>22</v>
      </c>
      <c r="G241" t="s">
        <v>29</v>
      </c>
      <c r="H241">
        <v>3619.61</v>
      </c>
      <c r="I241">
        <v>3651.42</v>
      </c>
      <c r="J241" t="s">
        <v>17</v>
      </c>
      <c r="K241">
        <v>0.26</v>
      </c>
      <c r="L241" t="s">
        <v>27</v>
      </c>
      <c r="M241" t="s">
        <v>19</v>
      </c>
      <c r="N241" t="s">
        <v>20</v>
      </c>
      <c r="O241">
        <f>Table2[[#This Row],[Unit_Cost]]*Table2[[#This Row],[Quantity_Sold]]</f>
        <v>79631.42</v>
      </c>
      <c r="P241">
        <f t="shared" si="3"/>
        <v>-74512.91</v>
      </c>
      <c r="Q241" s="3">
        <f>Table2[[#This Row],[Gross_Profit]]/Table2[[#This Row],[Sales_Amount]]</f>
        <v>-14.557539205745423</v>
      </c>
      <c r="R241" t="str">
        <f>TEXT(Table2[[#This Row],[Sale_Date]],"mmmm")</f>
        <v>February</v>
      </c>
      <c r="S241" s="4">
        <f>YEAR(Table2[[#This Row],[Sale_Date]])</f>
        <v>2023</v>
      </c>
    </row>
    <row r="242" spans="1:19" x14ac:dyDescent="0.35">
      <c r="A242">
        <v>1055</v>
      </c>
      <c r="B242" s="1">
        <v>45075</v>
      </c>
      <c r="C242" t="s">
        <v>38</v>
      </c>
      <c r="D242" t="s">
        <v>15</v>
      </c>
      <c r="E242">
        <v>4153.18</v>
      </c>
      <c r="F242">
        <v>40</v>
      </c>
      <c r="G242" t="s">
        <v>16</v>
      </c>
      <c r="H242">
        <v>959.73</v>
      </c>
      <c r="I242">
        <v>1111.4100000000001</v>
      </c>
      <c r="J242" t="s">
        <v>30</v>
      </c>
      <c r="K242">
        <v>0.23</v>
      </c>
      <c r="L242" t="s">
        <v>27</v>
      </c>
      <c r="M242" t="s">
        <v>19</v>
      </c>
      <c r="N242" t="s">
        <v>40</v>
      </c>
      <c r="O242">
        <f>Table2[[#This Row],[Unit_Cost]]*Table2[[#This Row],[Quantity_Sold]]</f>
        <v>38389.199999999997</v>
      </c>
      <c r="P242">
        <f t="shared" si="3"/>
        <v>-34236.019999999997</v>
      </c>
      <c r="Q242" s="3">
        <f>Table2[[#This Row],[Gross_Profit]]/Table2[[#This Row],[Sales_Amount]]</f>
        <v>-8.2433268001868427</v>
      </c>
      <c r="R242" t="str">
        <f>TEXT(Table2[[#This Row],[Sale_Date]],"mmmm")</f>
        <v>May</v>
      </c>
      <c r="S242" s="4">
        <f>YEAR(Table2[[#This Row],[Sale_Date]])</f>
        <v>2023</v>
      </c>
    </row>
    <row r="243" spans="1:19" x14ac:dyDescent="0.35">
      <c r="A243">
        <v>1075</v>
      </c>
      <c r="B243" s="1">
        <v>45235</v>
      </c>
      <c r="C243" t="s">
        <v>14</v>
      </c>
      <c r="D243" t="s">
        <v>34</v>
      </c>
      <c r="E243">
        <v>8127.7</v>
      </c>
      <c r="F243">
        <v>37</v>
      </c>
      <c r="G243" t="s">
        <v>26</v>
      </c>
      <c r="H243">
        <v>1675.51</v>
      </c>
      <c r="I243">
        <v>1906.6399999999901</v>
      </c>
      <c r="J243" t="s">
        <v>30</v>
      </c>
      <c r="K243">
        <v>0.13</v>
      </c>
      <c r="L243" t="s">
        <v>27</v>
      </c>
      <c r="M243" t="s">
        <v>19</v>
      </c>
      <c r="N243" t="s">
        <v>46</v>
      </c>
      <c r="O243">
        <f>Table2[[#This Row],[Unit_Cost]]*Table2[[#This Row],[Quantity_Sold]]</f>
        <v>61993.87</v>
      </c>
      <c r="P243">
        <f t="shared" si="3"/>
        <v>-53866.170000000006</v>
      </c>
      <c r="Q243" s="3">
        <f>Table2[[#This Row],[Gross_Profit]]/Table2[[#This Row],[Sales_Amount]]</f>
        <v>-6.6274800989209748</v>
      </c>
      <c r="R243" t="str">
        <f>TEXT(Table2[[#This Row],[Sale_Date]],"mmmm")</f>
        <v>November</v>
      </c>
      <c r="S243" s="4">
        <f>YEAR(Table2[[#This Row],[Sale_Date]])</f>
        <v>2023</v>
      </c>
    </row>
    <row r="244" spans="1:19" x14ac:dyDescent="0.35">
      <c r="A244">
        <v>1056</v>
      </c>
      <c r="B244" s="1">
        <v>45063</v>
      </c>
      <c r="C244" t="s">
        <v>24</v>
      </c>
      <c r="D244" t="s">
        <v>21</v>
      </c>
      <c r="E244">
        <v>8374.68</v>
      </c>
      <c r="F244">
        <v>47</v>
      </c>
      <c r="G244" t="s">
        <v>16</v>
      </c>
      <c r="H244">
        <v>2461.6999999999998</v>
      </c>
      <c r="I244">
        <v>2529.02</v>
      </c>
      <c r="J244" t="s">
        <v>17</v>
      </c>
      <c r="K244">
        <v>0.22</v>
      </c>
      <c r="L244" t="s">
        <v>18</v>
      </c>
      <c r="M244" t="s">
        <v>22</v>
      </c>
      <c r="N244" t="s">
        <v>47</v>
      </c>
      <c r="O244">
        <f>Table2[[#This Row],[Unit_Cost]]*Table2[[#This Row],[Quantity_Sold]]</f>
        <v>115699.9</v>
      </c>
      <c r="P244">
        <f t="shared" si="3"/>
        <v>-107325.22</v>
      </c>
      <c r="Q244" s="3">
        <f>Table2[[#This Row],[Gross_Profit]]/Table2[[#This Row],[Sales_Amount]]</f>
        <v>-12.815441306414096</v>
      </c>
      <c r="R244" t="str">
        <f>TEXT(Table2[[#This Row],[Sale_Date]],"mmmm")</f>
        <v>May</v>
      </c>
      <c r="S244" s="4">
        <f>YEAR(Table2[[#This Row],[Sale_Date]])</f>
        <v>2023</v>
      </c>
    </row>
    <row r="245" spans="1:19" x14ac:dyDescent="0.35">
      <c r="A245">
        <v>1017</v>
      </c>
      <c r="B245" s="1">
        <v>45128</v>
      </c>
      <c r="C245" t="s">
        <v>24</v>
      </c>
      <c r="D245" t="s">
        <v>34</v>
      </c>
      <c r="E245">
        <v>3388.69</v>
      </c>
      <c r="F245">
        <v>1</v>
      </c>
      <c r="G245" t="s">
        <v>26</v>
      </c>
      <c r="H245">
        <v>172.59</v>
      </c>
      <c r="I245">
        <v>404.69</v>
      </c>
      <c r="J245" t="s">
        <v>17</v>
      </c>
      <c r="K245">
        <v>0.28999999999999998</v>
      </c>
      <c r="L245" t="s">
        <v>27</v>
      </c>
      <c r="M245" t="s">
        <v>19</v>
      </c>
      <c r="N245" t="s">
        <v>50</v>
      </c>
      <c r="O245">
        <f>Table2[[#This Row],[Unit_Cost]]*Table2[[#This Row],[Quantity_Sold]]</f>
        <v>172.59</v>
      </c>
      <c r="P245">
        <f t="shared" si="3"/>
        <v>3216.1</v>
      </c>
      <c r="Q245" s="3">
        <f>Table2[[#This Row],[Gross_Profit]]/Table2[[#This Row],[Sales_Amount]]</f>
        <v>0.94906881420253841</v>
      </c>
      <c r="R245" t="str">
        <f>TEXT(Table2[[#This Row],[Sale_Date]],"mmmm")</f>
        <v>July</v>
      </c>
      <c r="S245" s="4">
        <f>YEAR(Table2[[#This Row],[Sale_Date]])</f>
        <v>2023</v>
      </c>
    </row>
    <row r="246" spans="1:19" x14ac:dyDescent="0.35">
      <c r="A246">
        <v>1038</v>
      </c>
      <c r="B246" s="1">
        <v>45239</v>
      </c>
      <c r="C246" t="s">
        <v>24</v>
      </c>
      <c r="D246" t="s">
        <v>34</v>
      </c>
      <c r="E246">
        <v>6966.82</v>
      </c>
      <c r="F246">
        <v>1</v>
      </c>
      <c r="G246" t="s">
        <v>26</v>
      </c>
      <c r="H246">
        <v>1281.6500000000001</v>
      </c>
      <c r="I246">
        <v>1709.71</v>
      </c>
      <c r="J246" t="s">
        <v>17</v>
      </c>
      <c r="K246">
        <v>0.14000000000000001</v>
      </c>
      <c r="L246" t="s">
        <v>31</v>
      </c>
      <c r="M246" t="s">
        <v>19</v>
      </c>
      <c r="N246" t="s">
        <v>50</v>
      </c>
      <c r="O246">
        <f>Table2[[#This Row],[Unit_Cost]]*Table2[[#This Row],[Quantity_Sold]]</f>
        <v>1281.6500000000001</v>
      </c>
      <c r="P246">
        <f t="shared" si="3"/>
        <v>5685.17</v>
      </c>
      <c r="Q246" s="3">
        <f>Table2[[#This Row],[Gross_Profit]]/Table2[[#This Row],[Sales_Amount]]</f>
        <v>0.81603514946560984</v>
      </c>
      <c r="R246" t="str">
        <f>TEXT(Table2[[#This Row],[Sale_Date]],"mmmm")</f>
        <v>November</v>
      </c>
      <c r="S246" s="4">
        <f>YEAR(Table2[[#This Row],[Sale_Date]])</f>
        <v>2023</v>
      </c>
    </row>
    <row r="247" spans="1:19" x14ac:dyDescent="0.3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c r="O247">
        <f>Table2[[#This Row],[Unit_Cost]]*Table2[[#This Row],[Quantity_Sold]]</f>
        <v>86900.1</v>
      </c>
      <c r="P247">
        <f t="shared" si="3"/>
        <v>-79165.98000000001</v>
      </c>
      <c r="Q247" s="3">
        <f>Table2[[#This Row],[Gross_Profit]]/Table2[[#This Row],[Sales_Amount]]</f>
        <v>-10.235938930350191</v>
      </c>
      <c r="R247" t="str">
        <f>TEXT(Table2[[#This Row],[Sale_Date]],"mmmm")</f>
        <v>April</v>
      </c>
      <c r="S247" s="4">
        <f>YEAR(Table2[[#This Row],[Sale_Date]])</f>
        <v>2023</v>
      </c>
    </row>
    <row r="248" spans="1:19" x14ac:dyDescent="0.35">
      <c r="A248">
        <v>1069</v>
      </c>
      <c r="B248" s="1">
        <v>45080</v>
      </c>
      <c r="C248" t="s">
        <v>24</v>
      </c>
      <c r="D248" t="s">
        <v>21</v>
      </c>
      <c r="E248">
        <v>6581.04</v>
      </c>
      <c r="F248">
        <v>42</v>
      </c>
      <c r="G248" t="s">
        <v>29</v>
      </c>
      <c r="H248">
        <v>1434.2</v>
      </c>
      <c r="I248">
        <v>1482.88</v>
      </c>
      <c r="J248" t="s">
        <v>30</v>
      </c>
      <c r="K248">
        <v>0.28000000000000003</v>
      </c>
      <c r="L248" t="s">
        <v>31</v>
      </c>
      <c r="M248" t="s">
        <v>22</v>
      </c>
      <c r="N248" t="s">
        <v>47</v>
      </c>
      <c r="O248">
        <f>Table2[[#This Row],[Unit_Cost]]*Table2[[#This Row],[Quantity_Sold]]</f>
        <v>60236.4</v>
      </c>
      <c r="P248">
        <f t="shared" si="3"/>
        <v>-53655.360000000001</v>
      </c>
      <c r="Q248" s="3">
        <f>Table2[[#This Row],[Gross_Profit]]/Table2[[#This Row],[Sales_Amount]]</f>
        <v>-8.1530214069508773</v>
      </c>
      <c r="R248" t="str">
        <f>TEXT(Table2[[#This Row],[Sale_Date]],"mmmm")</f>
        <v>June</v>
      </c>
      <c r="S248" s="4">
        <f>YEAR(Table2[[#This Row],[Sale_Date]])</f>
        <v>2023</v>
      </c>
    </row>
    <row r="249" spans="1:19" x14ac:dyDescent="0.35">
      <c r="A249">
        <v>1098</v>
      </c>
      <c r="B249" s="1">
        <v>45217</v>
      </c>
      <c r="C249" t="s">
        <v>38</v>
      </c>
      <c r="D249" t="s">
        <v>21</v>
      </c>
      <c r="E249">
        <v>1600.79</v>
      </c>
      <c r="F249">
        <v>21</v>
      </c>
      <c r="G249" t="s">
        <v>16</v>
      </c>
      <c r="H249">
        <v>725.03</v>
      </c>
      <c r="I249">
        <v>828.94999999999902</v>
      </c>
      <c r="J249" t="s">
        <v>30</v>
      </c>
      <c r="K249">
        <v>0.18</v>
      </c>
      <c r="L249" t="s">
        <v>27</v>
      </c>
      <c r="M249" t="s">
        <v>19</v>
      </c>
      <c r="N249" t="s">
        <v>41</v>
      </c>
      <c r="O249">
        <f>Table2[[#This Row],[Unit_Cost]]*Table2[[#This Row],[Quantity_Sold]]</f>
        <v>15225.63</v>
      </c>
      <c r="P249">
        <f t="shared" si="3"/>
        <v>-13624.84</v>
      </c>
      <c r="Q249" s="3">
        <f>Table2[[#This Row],[Gross_Profit]]/Table2[[#This Row],[Sales_Amount]]</f>
        <v>-8.511322534498591</v>
      </c>
      <c r="R249" t="str">
        <f>TEXT(Table2[[#This Row],[Sale_Date]],"mmmm")</f>
        <v>October</v>
      </c>
      <c r="S249" s="4">
        <f>YEAR(Table2[[#This Row],[Sale_Date]])</f>
        <v>2023</v>
      </c>
    </row>
    <row r="250" spans="1:19" x14ac:dyDescent="0.35">
      <c r="A250">
        <v>1070</v>
      </c>
      <c r="B250" s="1">
        <v>44989</v>
      </c>
      <c r="C250" t="s">
        <v>14</v>
      </c>
      <c r="D250" t="s">
        <v>25</v>
      </c>
      <c r="E250">
        <v>8771.24</v>
      </c>
      <c r="F250">
        <v>15</v>
      </c>
      <c r="G250" t="s">
        <v>35</v>
      </c>
      <c r="H250">
        <v>3653.66</v>
      </c>
      <c r="I250">
        <v>3896.19</v>
      </c>
      <c r="J250" t="s">
        <v>30</v>
      </c>
      <c r="K250">
        <v>0.03</v>
      </c>
      <c r="L250" t="s">
        <v>31</v>
      </c>
      <c r="M250" t="s">
        <v>22</v>
      </c>
      <c r="N250" t="s">
        <v>32</v>
      </c>
      <c r="O250">
        <f>Table2[[#This Row],[Unit_Cost]]*Table2[[#This Row],[Quantity_Sold]]</f>
        <v>54804.899999999994</v>
      </c>
      <c r="P250">
        <f t="shared" si="3"/>
        <v>-46033.659999999996</v>
      </c>
      <c r="Q250" s="3">
        <f>Table2[[#This Row],[Gross_Profit]]/Table2[[#This Row],[Sales_Amount]]</f>
        <v>-5.2482499623770407</v>
      </c>
      <c r="R250" t="str">
        <f>TEXT(Table2[[#This Row],[Sale_Date]],"mmmm")</f>
        <v>March</v>
      </c>
      <c r="S250" s="4">
        <f>YEAR(Table2[[#This Row],[Sale_Date]])</f>
        <v>2023</v>
      </c>
    </row>
    <row r="251" spans="1:19" x14ac:dyDescent="0.35">
      <c r="A251">
        <v>1086</v>
      </c>
      <c r="B251" s="1">
        <v>45170</v>
      </c>
      <c r="C251" t="s">
        <v>33</v>
      </c>
      <c r="D251" t="s">
        <v>21</v>
      </c>
      <c r="E251">
        <v>5437.04</v>
      </c>
      <c r="F251">
        <v>17</v>
      </c>
      <c r="G251" t="s">
        <v>35</v>
      </c>
      <c r="H251">
        <v>4075.08</v>
      </c>
      <c r="I251">
        <v>4262.21</v>
      </c>
      <c r="J251" t="s">
        <v>30</v>
      </c>
      <c r="K251">
        <v>0.17</v>
      </c>
      <c r="L251" t="s">
        <v>18</v>
      </c>
      <c r="M251" t="s">
        <v>19</v>
      </c>
      <c r="N251" t="s">
        <v>37</v>
      </c>
      <c r="O251">
        <f>Table2[[#This Row],[Unit_Cost]]*Table2[[#This Row],[Quantity_Sold]]</f>
        <v>69276.36</v>
      </c>
      <c r="P251">
        <f t="shared" si="3"/>
        <v>-63839.32</v>
      </c>
      <c r="Q251" s="3">
        <f>Table2[[#This Row],[Gross_Profit]]/Table2[[#This Row],[Sales_Amount]]</f>
        <v>-11.741557906507953</v>
      </c>
      <c r="R251" t="str">
        <f>TEXT(Table2[[#This Row],[Sale_Date]],"mmmm")</f>
        <v>September</v>
      </c>
      <c r="S251" s="4">
        <f>YEAR(Table2[[#This Row],[Sale_Date]])</f>
        <v>2023</v>
      </c>
    </row>
    <row r="252" spans="1:19" x14ac:dyDescent="0.35">
      <c r="A252">
        <v>1011</v>
      </c>
      <c r="B252" s="1">
        <v>44951</v>
      </c>
      <c r="C252" t="s">
        <v>38</v>
      </c>
      <c r="D252" t="s">
        <v>15</v>
      </c>
      <c r="E252">
        <v>2896.48</v>
      </c>
      <c r="F252">
        <v>22</v>
      </c>
      <c r="G252" t="s">
        <v>35</v>
      </c>
      <c r="H252">
        <v>1324.52</v>
      </c>
      <c r="I252">
        <v>1510.3</v>
      </c>
      <c r="J252" t="s">
        <v>17</v>
      </c>
      <c r="K252">
        <v>0.15</v>
      </c>
      <c r="L252" t="s">
        <v>18</v>
      </c>
      <c r="M252" t="s">
        <v>22</v>
      </c>
      <c r="N252" t="s">
        <v>40</v>
      </c>
      <c r="O252">
        <f>Table2[[#This Row],[Unit_Cost]]*Table2[[#This Row],[Quantity_Sold]]</f>
        <v>29139.439999999999</v>
      </c>
      <c r="P252">
        <f t="shared" si="3"/>
        <v>-26242.959999999999</v>
      </c>
      <c r="Q252" s="3">
        <f>Table2[[#This Row],[Gross_Profit]]/Table2[[#This Row],[Sales_Amount]]</f>
        <v>-9.0602938739435448</v>
      </c>
      <c r="R252" t="str">
        <f>TEXT(Table2[[#This Row],[Sale_Date]],"mmmm")</f>
        <v>January</v>
      </c>
      <c r="S252" s="4">
        <f>YEAR(Table2[[#This Row],[Sale_Date]])</f>
        <v>2023</v>
      </c>
    </row>
    <row r="253" spans="1:19" x14ac:dyDescent="0.35">
      <c r="A253">
        <v>1016</v>
      </c>
      <c r="B253" s="1">
        <v>45016</v>
      </c>
      <c r="C253" t="s">
        <v>38</v>
      </c>
      <c r="D253" t="s">
        <v>34</v>
      </c>
      <c r="E253">
        <v>4309.76</v>
      </c>
      <c r="F253">
        <v>38</v>
      </c>
      <c r="G253" t="s">
        <v>35</v>
      </c>
      <c r="H253">
        <v>3883.38</v>
      </c>
      <c r="I253">
        <v>4152.72</v>
      </c>
      <c r="J253" t="s">
        <v>17</v>
      </c>
      <c r="K253">
        <v>0.26</v>
      </c>
      <c r="L253" t="s">
        <v>18</v>
      </c>
      <c r="M253" t="s">
        <v>19</v>
      </c>
      <c r="N253" t="s">
        <v>48</v>
      </c>
      <c r="O253">
        <f>Table2[[#This Row],[Unit_Cost]]*Table2[[#This Row],[Quantity_Sold]]</f>
        <v>147568.44</v>
      </c>
      <c r="P253">
        <f t="shared" si="3"/>
        <v>-143258.68</v>
      </c>
      <c r="Q253" s="3">
        <f>Table2[[#This Row],[Gross_Profit]]/Table2[[#This Row],[Sales_Amount]]</f>
        <v>-33.24052383427383</v>
      </c>
      <c r="R253" t="str">
        <f>TEXT(Table2[[#This Row],[Sale_Date]],"mmmm")</f>
        <v>March</v>
      </c>
      <c r="S253" s="4">
        <f>YEAR(Table2[[#This Row],[Sale_Date]])</f>
        <v>2023</v>
      </c>
    </row>
    <row r="254" spans="1:19" x14ac:dyDescent="0.35">
      <c r="A254">
        <v>1097</v>
      </c>
      <c r="B254" s="1">
        <v>45001</v>
      </c>
      <c r="C254" t="s">
        <v>24</v>
      </c>
      <c r="D254" t="s">
        <v>25</v>
      </c>
      <c r="E254">
        <v>471.95</v>
      </c>
      <c r="F254">
        <v>35</v>
      </c>
      <c r="G254" t="s">
        <v>26</v>
      </c>
      <c r="H254">
        <v>1958.49</v>
      </c>
      <c r="I254">
        <v>2254.84</v>
      </c>
      <c r="J254" t="s">
        <v>30</v>
      </c>
      <c r="K254">
        <v>0.16</v>
      </c>
      <c r="L254" t="s">
        <v>31</v>
      </c>
      <c r="M254" t="s">
        <v>19</v>
      </c>
      <c r="N254" t="s">
        <v>28</v>
      </c>
      <c r="O254">
        <f>Table2[[#This Row],[Unit_Cost]]*Table2[[#This Row],[Quantity_Sold]]</f>
        <v>68547.149999999994</v>
      </c>
      <c r="P254">
        <f t="shared" si="3"/>
        <v>-68075.199999999997</v>
      </c>
      <c r="Q254" s="3">
        <f>Table2[[#This Row],[Gross_Profit]]/Table2[[#This Row],[Sales_Amount]]</f>
        <v>-144.2423985591694</v>
      </c>
      <c r="R254" t="str">
        <f>TEXT(Table2[[#This Row],[Sale_Date]],"mmmm")</f>
        <v>March</v>
      </c>
      <c r="S254" s="4">
        <f>YEAR(Table2[[#This Row],[Sale_Date]])</f>
        <v>2023</v>
      </c>
    </row>
    <row r="255" spans="1:19" x14ac:dyDescent="0.35">
      <c r="A255">
        <v>1073</v>
      </c>
      <c r="B255" s="1">
        <v>45220</v>
      </c>
      <c r="C255" t="s">
        <v>42</v>
      </c>
      <c r="D255" t="s">
        <v>21</v>
      </c>
      <c r="E255">
        <v>1365.88</v>
      </c>
      <c r="F255">
        <v>45</v>
      </c>
      <c r="G255" t="s">
        <v>16</v>
      </c>
      <c r="H255">
        <v>2558.09</v>
      </c>
      <c r="I255">
        <v>2958.55</v>
      </c>
      <c r="J255" t="s">
        <v>30</v>
      </c>
      <c r="K255">
        <v>0.08</v>
      </c>
      <c r="L255" t="s">
        <v>18</v>
      </c>
      <c r="M255" t="s">
        <v>19</v>
      </c>
      <c r="N255" t="s">
        <v>51</v>
      </c>
      <c r="O255">
        <f>Table2[[#This Row],[Unit_Cost]]*Table2[[#This Row],[Quantity_Sold]]</f>
        <v>115114.05</v>
      </c>
      <c r="P255">
        <f t="shared" si="3"/>
        <v>-113748.17</v>
      </c>
      <c r="Q255" s="3">
        <f>Table2[[#This Row],[Gross_Profit]]/Table2[[#This Row],[Sales_Amount]]</f>
        <v>-83.2783040969924</v>
      </c>
      <c r="R255" t="str">
        <f>TEXT(Table2[[#This Row],[Sale_Date]],"mmmm")</f>
        <v>October</v>
      </c>
      <c r="S255" s="4">
        <f>YEAR(Table2[[#This Row],[Sale_Date]])</f>
        <v>2023</v>
      </c>
    </row>
    <row r="256" spans="1:19" x14ac:dyDescent="0.35">
      <c r="A256">
        <v>1059</v>
      </c>
      <c r="B256" s="1">
        <v>45136</v>
      </c>
      <c r="C256" t="s">
        <v>14</v>
      </c>
      <c r="D256" t="s">
        <v>25</v>
      </c>
      <c r="E256">
        <v>7678.91</v>
      </c>
      <c r="F256">
        <v>16</v>
      </c>
      <c r="G256" t="s">
        <v>16</v>
      </c>
      <c r="H256">
        <v>4287.21</v>
      </c>
      <c r="I256">
        <v>4464.28</v>
      </c>
      <c r="J256" t="s">
        <v>17</v>
      </c>
      <c r="K256">
        <v>0.2</v>
      </c>
      <c r="L256" t="s">
        <v>31</v>
      </c>
      <c r="M256" t="s">
        <v>22</v>
      </c>
      <c r="N256" t="s">
        <v>32</v>
      </c>
      <c r="O256">
        <f>Table2[[#This Row],[Unit_Cost]]*Table2[[#This Row],[Quantity_Sold]]</f>
        <v>68595.360000000001</v>
      </c>
      <c r="P256">
        <f t="shared" si="3"/>
        <v>-60916.45</v>
      </c>
      <c r="Q256" s="3">
        <f>Table2[[#This Row],[Gross_Profit]]/Table2[[#This Row],[Sales_Amount]]</f>
        <v>-7.932955328295292</v>
      </c>
      <c r="R256" t="str">
        <f>TEXT(Table2[[#This Row],[Sale_Date]],"mmmm")</f>
        <v>July</v>
      </c>
      <c r="S256" s="4">
        <f>YEAR(Table2[[#This Row],[Sale_Date]])</f>
        <v>2023</v>
      </c>
    </row>
    <row r="257" spans="1:19" x14ac:dyDescent="0.35">
      <c r="A257">
        <v>1070</v>
      </c>
      <c r="B257" s="1">
        <v>45273</v>
      </c>
      <c r="C257" t="s">
        <v>42</v>
      </c>
      <c r="D257" t="s">
        <v>21</v>
      </c>
      <c r="E257">
        <v>100.12</v>
      </c>
      <c r="F257">
        <v>8</v>
      </c>
      <c r="G257" t="s">
        <v>29</v>
      </c>
      <c r="H257">
        <v>3762.27</v>
      </c>
      <c r="I257">
        <v>4166.95</v>
      </c>
      <c r="J257" t="s">
        <v>17</v>
      </c>
      <c r="K257">
        <v>0.16</v>
      </c>
      <c r="L257" t="s">
        <v>27</v>
      </c>
      <c r="M257" t="s">
        <v>19</v>
      </c>
      <c r="N257" t="s">
        <v>51</v>
      </c>
      <c r="O257">
        <f>Table2[[#This Row],[Unit_Cost]]*Table2[[#This Row],[Quantity_Sold]]</f>
        <v>30098.16</v>
      </c>
      <c r="P257">
        <f t="shared" si="3"/>
        <v>-29998.04</v>
      </c>
      <c r="Q257" s="3">
        <f>Table2[[#This Row],[Gross_Profit]]/Table2[[#This Row],[Sales_Amount]]</f>
        <v>-299.62085497403115</v>
      </c>
      <c r="R257" t="str">
        <f>TEXT(Table2[[#This Row],[Sale_Date]],"mmmm")</f>
        <v>December</v>
      </c>
      <c r="S257" s="4">
        <f>YEAR(Table2[[#This Row],[Sale_Date]])</f>
        <v>2023</v>
      </c>
    </row>
    <row r="258" spans="1:19" x14ac:dyDescent="0.35">
      <c r="A258">
        <v>1080</v>
      </c>
      <c r="B258" s="1">
        <v>44943</v>
      </c>
      <c r="C258" t="s">
        <v>14</v>
      </c>
      <c r="D258" t="s">
        <v>25</v>
      </c>
      <c r="E258">
        <v>4224</v>
      </c>
      <c r="F258">
        <v>47</v>
      </c>
      <c r="G258" t="s">
        <v>16</v>
      </c>
      <c r="H258">
        <v>4035.33</v>
      </c>
      <c r="I258">
        <v>4211.25</v>
      </c>
      <c r="J258" t="s">
        <v>17</v>
      </c>
      <c r="K258">
        <v>7.0000000000000007E-2</v>
      </c>
      <c r="L258" t="s">
        <v>27</v>
      </c>
      <c r="M258" t="s">
        <v>19</v>
      </c>
      <c r="N258" t="s">
        <v>32</v>
      </c>
      <c r="O258">
        <f>Table2[[#This Row],[Unit_Cost]]*Table2[[#This Row],[Quantity_Sold]]</f>
        <v>189660.51</v>
      </c>
      <c r="P258">
        <f t="shared" ref="P258:P321" si="4">E258-O258</f>
        <v>-185436.51</v>
      </c>
      <c r="Q258" s="3">
        <f>Table2[[#This Row],[Gross_Profit]]/Table2[[#This Row],[Sales_Amount]]</f>
        <v>-43.900688920454549</v>
      </c>
      <c r="R258" t="str">
        <f>TEXT(Table2[[#This Row],[Sale_Date]],"mmmm")</f>
        <v>January</v>
      </c>
      <c r="S258" s="4">
        <f>YEAR(Table2[[#This Row],[Sale_Date]])</f>
        <v>2023</v>
      </c>
    </row>
    <row r="259" spans="1:19" x14ac:dyDescent="0.35">
      <c r="A259">
        <v>1093</v>
      </c>
      <c r="B259" s="1">
        <v>45054</v>
      </c>
      <c r="C259" t="s">
        <v>14</v>
      </c>
      <c r="D259" t="s">
        <v>34</v>
      </c>
      <c r="E259">
        <v>5272.85</v>
      </c>
      <c r="F259">
        <v>17</v>
      </c>
      <c r="G259" t="s">
        <v>16</v>
      </c>
      <c r="H259">
        <v>727.38</v>
      </c>
      <c r="I259">
        <v>764.54</v>
      </c>
      <c r="J259" t="s">
        <v>17</v>
      </c>
      <c r="K259">
        <v>0.17</v>
      </c>
      <c r="L259" t="s">
        <v>31</v>
      </c>
      <c r="M259" t="s">
        <v>22</v>
      </c>
      <c r="N259" t="s">
        <v>46</v>
      </c>
      <c r="O259">
        <f>Table2[[#This Row],[Unit_Cost]]*Table2[[#This Row],[Quantity_Sold]]</f>
        <v>12365.46</v>
      </c>
      <c r="P259">
        <f t="shared" si="4"/>
        <v>-7092.6099999999988</v>
      </c>
      <c r="Q259" s="3">
        <f>Table2[[#This Row],[Gross_Profit]]/Table2[[#This Row],[Sales_Amount]]</f>
        <v>-1.345118863612657</v>
      </c>
      <c r="R259" t="str">
        <f>TEXT(Table2[[#This Row],[Sale_Date]],"mmmm")</f>
        <v>May</v>
      </c>
      <c r="S259" s="4">
        <f>YEAR(Table2[[#This Row],[Sale_Date]])</f>
        <v>2023</v>
      </c>
    </row>
    <row r="260" spans="1:19" x14ac:dyDescent="0.35">
      <c r="A260">
        <v>1003</v>
      </c>
      <c r="B260" s="1">
        <v>45290</v>
      </c>
      <c r="C260" t="s">
        <v>42</v>
      </c>
      <c r="D260" t="s">
        <v>34</v>
      </c>
      <c r="E260">
        <v>640.88</v>
      </c>
      <c r="F260">
        <v>17</v>
      </c>
      <c r="G260" t="s">
        <v>16</v>
      </c>
      <c r="H260">
        <v>395.11</v>
      </c>
      <c r="I260">
        <v>676.66</v>
      </c>
      <c r="J260" t="s">
        <v>17</v>
      </c>
      <c r="K260">
        <v>0.25</v>
      </c>
      <c r="L260" t="s">
        <v>18</v>
      </c>
      <c r="M260" t="s">
        <v>22</v>
      </c>
      <c r="N260" t="s">
        <v>52</v>
      </c>
      <c r="O260">
        <f>Table2[[#This Row],[Unit_Cost]]*Table2[[#This Row],[Quantity_Sold]]</f>
        <v>6716.87</v>
      </c>
      <c r="P260">
        <f t="shared" si="4"/>
        <v>-6075.99</v>
      </c>
      <c r="Q260" s="3">
        <f>Table2[[#This Row],[Gross_Profit]]/Table2[[#This Row],[Sales_Amount]]</f>
        <v>-9.4806984146798143</v>
      </c>
      <c r="R260" t="str">
        <f>TEXT(Table2[[#This Row],[Sale_Date]],"mmmm")</f>
        <v>December</v>
      </c>
      <c r="S260" s="4">
        <f>YEAR(Table2[[#This Row],[Sale_Date]])</f>
        <v>2023</v>
      </c>
    </row>
    <row r="261" spans="1:19" x14ac:dyDescent="0.35">
      <c r="A261">
        <v>1020</v>
      </c>
      <c r="B261" s="1">
        <v>45177</v>
      </c>
      <c r="C261" t="s">
        <v>38</v>
      </c>
      <c r="D261" t="s">
        <v>15</v>
      </c>
      <c r="E261">
        <v>9733.4699999999993</v>
      </c>
      <c r="F261">
        <v>26</v>
      </c>
      <c r="G261" t="s">
        <v>29</v>
      </c>
      <c r="H261">
        <v>4472.3500000000004</v>
      </c>
      <c r="I261">
        <v>4770.42</v>
      </c>
      <c r="J261" t="s">
        <v>30</v>
      </c>
      <c r="K261">
        <v>0.01</v>
      </c>
      <c r="L261" t="s">
        <v>31</v>
      </c>
      <c r="M261" t="s">
        <v>22</v>
      </c>
      <c r="N261" t="s">
        <v>40</v>
      </c>
      <c r="O261">
        <f>Table2[[#This Row],[Unit_Cost]]*Table2[[#This Row],[Quantity_Sold]]</f>
        <v>116281.1</v>
      </c>
      <c r="P261">
        <f t="shared" si="4"/>
        <v>-106547.63</v>
      </c>
      <c r="Q261" s="3">
        <f>Table2[[#This Row],[Gross_Profit]]/Table2[[#This Row],[Sales_Amount]]</f>
        <v>-10.946520613922887</v>
      </c>
      <c r="R261" t="str">
        <f>TEXT(Table2[[#This Row],[Sale_Date]],"mmmm")</f>
        <v>September</v>
      </c>
      <c r="S261" s="4">
        <f>YEAR(Table2[[#This Row],[Sale_Date]])</f>
        <v>2023</v>
      </c>
    </row>
    <row r="262" spans="1:19" x14ac:dyDescent="0.35">
      <c r="A262">
        <v>1059</v>
      </c>
      <c r="B262" s="1">
        <v>45105</v>
      </c>
      <c r="C262" t="s">
        <v>14</v>
      </c>
      <c r="D262" t="s">
        <v>15</v>
      </c>
      <c r="E262">
        <v>2338.64</v>
      </c>
      <c r="F262">
        <v>13</v>
      </c>
      <c r="G262" t="s">
        <v>35</v>
      </c>
      <c r="H262">
        <v>1969.78</v>
      </c>
      <c r="I262">
        <v>2437.6999999999998</v>
      </c>
      <c r="J262" t="s">
        <v>30</v>
      </c>
      <c r="K262">
        <v>0.19</v>
      </c>
      <c r="L262" t="s">
        <v>31</v>
      </c>
      <c r="M262" t="s">
        <v>22</v>
      </c>
      <c r="N262" t="s">
        <v>20</v>
      </c>
      <c r="O262">
        <f>Table2[[#This Row],[Unit_Cost]]*Table2[[#This Row],[Quantity_Sold]]</f>
        <v>25607.14</v>
      </c>
      <c r="P262">
        <f t="shared" si="4"/>
        <v>-23268.5</v>
      </c>
      <c r="Q262" s="3">
        <f>Table2[[#This Row],[Gross_Profit]]/Table2[[#This Row],[Sales_Amount]]</f>
        <v>-9.9495860842198898</v>
      </c>
      <c r="R262" t="str">
        <f>TEXT(Table2[[#This Row],[Sale_Date]],"mmmm")</f>
        <v>June</v>
      </c>
      <c r="S262" s="4">
        <f>YEAR(Table2[[#This Row],[Sale_Date]])</f>
        <v>2023</v>
      </c>
    </row>
    <row r="263" spans="1:19" x14ac:dyDescent="0.35">
      <c r="A263">
        <v>1036</v>
      </c>
      <c r="B263" s="1">
        <v>45108</v>
      </c>
      <c r="C263" t="s">
        <v>42</v>
      </c>
      <c r="D263" t="s">
        <v>21</v>
      </c>
      <c r="E263">
        <v>3111.57</v>
      </c>
      <c r="F263">
        <v>17</v>
      </c>
      <c r="G263" t="s">
        <v>16</v>
      </c>
      <c r="H263">
        <v>1475</v>
      </c>
      <c r="I263">
        <v>1840.77</v>
      </c>
      <c r="J263" t="s">
        <v>17</v>
      </c>
      <c r="K263">
        <v>0.1</v>
      </c>
      <c r="L263" t="s">
        <v>31</v>
      </c>
      <c r="M263" t="s">
        <v>19</v>
      </c>
      <c r="N263" t="s">
        <v>51</v>
      </c>
      <c r="O263">
        <f>Table2[[#This Row],[Unit_Cost]]*Table2[[#This Row],[Quantity_Sold]]</f>
        <v>25075</v>
      </c>
      <c r="P263">
        <f t="shared" si="4"/>
        <v>-21963.43</v>
      </c>
      <c r="Q263" s="3">
        <f>Table2[[#This Row],[Gross_Profit]]/Table2[[#This Row],[Sales_Amount]]</f>
        <v>-7.0586327802363433</v>
      </c>
      <c r="R263" t="str">
        <f>TEXT(Table2[[#This Row],[Sale_Date]],"mmmm")</f>
        <v>July</v>
      </c>
      <c r="S263" s="4">
        <f>YEAR(Table2[[#This Row],[Sale_Date]])</f>
        <v>2023</v>
      </c>
    </row>
    <row r="264" spans="1:19" x14ac:dyDescent="0.35">
      <c r="A264">
        <v>1019</v>
      </c>
      <c r="B264" s="1">
        <v>45078</v>
      </c>
      <c r="C264" t="s">
        <v>14</v>
      </c>
      <c r="D264" t="s">
        <v>34</v>
      </c>
      <c r="E264">
        <v>3109.03</v>
      </c>
      <c r="F264">
        <v>38</v>
      </c>
      <c r="G264" t="s">
        <v>29</v>
      </c>
      <c r="H264">
        <v>3637.25</v>
      </c>
      <c r="I264">
        <v>4096.96</v>
      </c>
      <c r="J264" t="s">
        <v>17</v>
      </c>
      <c r="K264">
        <v>0.09</v>
      </c>
      <c r="L264" t="s">
        <v>27</v>
      </c>
      <c r="M264" t="s">
        <v>19</v>
      </c>
      <c r="N264" t="s">
        <v>46</v>
      </c>
      <c r="O264">
        <f>Table2[[#This Row],[Unit_Cost]]*Table2[[#This Row],[Quantity_Sold]]</f>
        <v>138215.5</v>
      </c>
      <c r="P264">
        <f t="shared" si="4"/>
        <v>-135106.47</v>
      </c>
      <c r="Q264" s="3">
        <f>Table2[[#This Row],[Gross_Profit]]/Table2[[#This Row],[Sales_Amount]]</f>
        <v>-43.456148702328377</v>
      </c>
      <c r="R264" t="str">
        <f>TEXT(Table2[[#This Row],[Sale_Date]],"mmmm")</f>
        <v>June</v>
      </c>
      <c r="S264" s="4">
        <f>YEAR(Table2[[#This Row],[Sale_Date]])</f>
        <v>2023</v>
      </c>
    </row>
    <row r="265" spans="1:19" x14ac:dyDescent="0.35">
      <c r="A265">
        <v>1090</v>
      </c>
      <c r="B265" s="1">
        <v>44951</v>
      </c>
      <c r="C265" t="s">
        <v>33</v>
      </c>
      <c r="D265" t="s">
        <v>25</v>
      </c>
      <c r="E265">
        <v>2381.12</v>
      </c>
      <c r="F265">
        <v>17</v>
      </c>
      <c r="G265" t="s">
        <v>29</v>
      </c>
      <c r="H265">
        <v>4190.26</v>
      </c>
      <c r="I265">
        <v>4645.3500000000004</v>
      </c>
      <c r="J265" t="s">
        <v>30</v>
      </c>
      <c r="K265">
        <v>0.12</v>
      </c>
      <c r="L265" t="s">
        <v>31</v>
      </c>
      <c r="M265" t="s">
        <v>22</v>
      </c>
      <c r="N265" t="s">
        <v>44</v>
      </c>
      <c r="O265">
        <f>Table2[[#This Row],[Unit_Cost]]*Table2[[#This Row],[Quantity_Sold]]</f>
        <v>71234.42</v>
      </c>
      <c r="P265">
        <f t="shared" si="4"/>
        <v>-68853.3</v>
      </c>
      <c r="Q265" s="3">
        <f>Table2[[#This Row],[Gross_Profit]]/Table2[[#This Row],[Sales_Amount]]</f>
        <v>-28.916350288939661</v>
      </c>
      <c r="R265" t="str">
        <f>TEXT(Table2[[#This Row],[Sale_Date]],"mmmm")</f>
        <v>January</v>
      </c>
      <c r="S265" s="4">
        <f>YEAR(Table2[[#This Row],[Sale_Date]])</f>
        <v>2023</v>
      </c>
    </row>
    <row r="266" spans="1:19" x14ac:dyDescent="0.35">
      <c r="A266">
        <v>1067</v>
      </c>
      <c r="B266" s="1">
        <v>45106</v>
      </c>
      <c r="C266" t="s">
        <v>38</v>
      </c>
      <c r="D266" t="s">
        <v>25</v>
      </c>
      <c r="E266">
        <v>114.59</v>
      </c>
      <c r="F266">
        <v>48</v>
      </c>
      <c r="G266" t="s">
        <v>26</v>
      </c>
      <c r="H266">
        <v>4319.32</v>
      </c>
      <c r="I266">
        <v>4625.5599999999904</v>
      </c>
      <c r="J266" t="s">
        <v>17</v>
      </c>
      <c r="K266">
        <v>0.1</v>
      </c>
      <c r="L266" t="s">
        <v>27</v>
      </c>
      <c r="M266" t="s">
        <v>19</v>
      </c>
      <c r="N266" t="s">
        <v>39</v>
      </c>
      <c r="O266">
        <f>Table2[[#This Row],[Unit_Cost]]*Table2[[#This Row],[Quantity_Sold]]</f>
        <v>207327.35999999999</v>
      </c>
      <c r="P266">
        <f t="shared" si="4"/>
        <v>-207212.77</v>
      </c>
      <c r="Q266" s="3">
        <f>Table2[[#This Row],[Gross_Profit]]/Table2[[#This Row],[Sales_Amount]]</f>
        <v>-1808.2971463478486</v>
      </c>
      <c r="R266" t="str">
        <f>TEXT(Table2[[#This Row],[Sale_Date]],"mmmm")</f>
        <v>June</v>
      </c>
      <c r="S266" s="4">
        <f>YEAR(Table2[[#This Row],[Sale_Date]])</f>
        <v>2023</v>
      </c>
    </row>
    <row r="267" spans="1:19" x14ac:dyDescent="0.35">
      <c r="A267">
        <v>1019</v>
      </c>
      <c r="B267" s="1">
        <v>45124</v>
      </c>
      <c r="C267" t="s">
        <v>24</v>
      </c>
      <c r="D267" t="s">
        <v>25</v>
      </c>
      <c r="E267">
        <v>7320.51</v>
      </c>
      <c r="F267">
        <v>14</v>
      </c>
      <c r="G267" t="s">
        <v>29</v>
      </c>
      <c r="H267">
        <v>1614.19</v>
      </c>
      <c r="I267">
        <v>1882.79</v>
      </c>
      <c r="J267" t="s">
        <v>30</v>
      </c>
      <c r="K267">
        <v>0.25</v>
      </c>
      <c r="L267" t="s">
        <v>31</v>
      </c>
      <c r="M267" t="s">
        <v>22</v>
      </c>
      <c r="N267" t="s">
        <v>28</v>
      </c>
      <c r="O267">
        <f>Table2[[#This Row],[Unit_Cost]]*Table2[[#This Row],[Quantity_Sold]]</f>
        <v>22598.66</v>
      </c>
      <c r="P267">
        <f t="shared" si="4"/>
        <v>-15278.15</v>
      </c>
      <c r="Q267" s="3">
        <f>Table2[[#This Row],[Gross_Profit]]/Table2[[#This Row],[Sales_Amount]]</f>
        <v>-2.087033553673173</v>
      </c>
      <c r="R267" t="str">
        <f>TEXT(Table2[[#This Row],[Sale_Date]],"mmmm")</f>
        <v>July</v>
      </c>
      <c r="S267" s="4">
        <f>YEAR(Table2[[#This Row],[Sale_Date]])</f>
        <v>2023</v>
      </c>
    </row>
    <row r="268" spans="1:19" x14ac:dyDescent="0.35">
      <c r="A268">
        <v>1020</v>
      </c>
      <c r="B268" s="1">
        <v>45270</v>
      </c>
      <c r="C268" t="s">
        <v>14</v>
      </c>
      <c r="D268" t="s">
        <v>15</v>
      </c>
      <c r="E268">
        <v>9671.77</v>
      </c>
      <c r="F268">
        <v>45</v>
      </c>
      <c r="G268" t="s">
        <v>35</v>
      </c>
      <c r="H268">
        <v>4268.45</v>
      </c>
      <c r="I268">
        <v>4551.5999999999904</v>
      </c>
      <c r="J268" t="s">
        <v>30</v>
      </c>
      <c r="K268">
        <v>0.08</v>
      </c>
      <c r="L268" t="s">
        <v>27</v>
      </c>
      <c r="M268" t="s">
        <v>19</v>
      </c>
      <c r="N268" t="s">
        <v>20</v>
      </c>
      <c r="O268">
        <f>Table2[[#This Row],[Unit_Cost]]*Table2[[#This Row],[Quantity_Sold]]</f>
        <v>192080.25</v>
      </c>
      <c r="P268">
        <f t="shared" si="4"/>
        <v>-182408.48</v>
      </c>
      <c r="Q268" s="3">
        <f>Table2[[#This Row],[Gross_Profit]]/Table2[[#This Row],[Sales_Amount]]</f>
        <v>-18.859886039473643</v>
      </c>
      <c r="R268" t="str">
        <f>TEXT(Table2[[#This Row],[Sale_Date]],"mmmm")</f>
        <v>December</v>
      </c>
      <c r="S268" s="4">
        <f>YEAR(Table2[[#This Row],[Sale_Date]])</f>
        <v>2023</v>
      </c>
    </row>
    <row r="269" spans="1:19" x14ac:dyDescent="0.35">
      <c r="A269">
        <v>1096</v>
      </c>
      <c r="B269" s="1">
        <v>45087</v>
      </c>
      <c r="C269" t="s">
        <v>33</v>
      </c>
      <c r="D269" t="s">
        <v>25</v>
      </c>
      <c r="E269">
        <v>2320.5100000000002</v>
      </c>
      <c r="F269">
        <v>6</v>
      </c>
      <c r="G269" t="s">
        <v>16</v>
      </c>
      <c r="H269">
        <v>252.62</v>
      </c>
      <c r="I269">
        <v>742</v>
      </c>
      <c r="J269" t="s">
        <v>30</v>
      </c>
      <c r="K269">
        <v>0.22</v>
      </c>
      <c r="L269" t="s">
        <v>31</v>
      </c>
      <c r="M269" t="s">
        <v>22</v>
      </c>
      <c r="N269" t="s">
        <v>44</v>
      </c>
      <c r="O269">
        <f>Table2[[#This Row],[Unit_Cost]]*Table2[[#This Row],[Quantity_Sold]]</f>
        <v>1515.72</v>
      </c>
      <c r="P269">
        <f t="shared" si="4"/>
        <v>804.79000000000019</v>
      </c>
      <c r="Q269" s="3">
        <f>Table2[[#This Row],[Gross_Profit]]/Table2[[#This Row],[Sales_Amount]]</f>
        <v>0.34681600165480869</v>
      </c>
      <c r="R269" t="str">
        <f>TEXT(Table2[[#This Row],[Sale_Date]],"mmmm")</f>
        <v>June</v>
      </c>
      <c r="S269" s="4">
        <f>YEAR(Table2[[#This Row],[Sale_Date]])</f>
        <v>2023</v>
      </c>
    </row>
    <row r="270" spans="1:19" x14ac:dyDescent="0.35">
      <c r="A270">
        <v>1071</v>
      </c>
      <c r="B270" s="1">
        <v>45103</v>
      </c>
      <c r="C270" t="s">
        <v>24</v>
      </c>
      <c r="D270" t="s">
        <v>15</v>
      </c>
      <c r="E270">
        <v>6664.17</v>
      </c>
      <c r="F270">
        <v>35</v>
      </c>
      <c r="G270" t="s">
        <v>29</v>
      </c>
      <c r="H270">
        <v>295.82</v>
      </c>
      <c r="I270">
        <v>684.67</v>
      </c>
      <c r="J270" t="s">
        <v>30</v>
      </c>
      <c r="K270">
        <v>0.03</v>
      </c>
      <c r="L270" t="s">
        <v>31</v>
      </c>
      <c r="M270" t="s">
        <v>19</v>
      </c>
      <c r="N270" t="s">
        <v>45</v>
      </c>
      <c r="O270">
        <f>Table2[[#This Row],[Unit_Cost]]*Table2[[#This Row],[Quantity_Sold]]</f>
        <v>10353.699999999999</v>
      </c>
      <c r="P270">
        <f t="shared" si="4"/>
        <v>-3689.5299999999988</v>
      </c>
      <c r="Q270" s="3">
        <f>Table2[[#This Row],[Gross_Profit]]/Table2[[#This Row],[Sales_Amount]]</f>
        <v>-0.55363683699545463</v>
      </c>
      <c r="R270" t="str">
        <f>TEXT(Table2[[#This Row],[Sale_Date]],"mmmm")</f>
        <v>June</v>
      </c>
      <c r="S270" s="4">
        <f>YEAR(Table2[[#This Row],[Sale_Date]])</f>
        <v>2023</v>
      </c>
    </row>
    <row r="271" spans="1:19" x14ac:dyDescent="0.35">
      <c r="A271">
        <v>1052</v>
      </c>
      <c r="B271" s="1">
        <v>45211</v>
      </c>
      <c r="C271" t="s">
        <v>24</v>
      </c>
      <c r="D271" t="s">
        <v>15</v>
      </c>
      <c r="E271">
        <v>7444.77</v>
      </c>
      <c r="F271">
        <v>46</v>
      </c>
      <c r="G271" t="s">
        <v>35</v>
      </c>
      <c r="H271">
        <v>3136.42</v>
      </c>
      <c r="I271">
        <v>3198.49</v>
      </c>
      <c r="J271" t="s">
        <v>17</v>
      </c>
      <c r="K271">
        <v>0.28999999999999998</v>
      </c>
      <c r="L271" t="s">
        <v>18</v>
      </c>
      <c r="M271" t="s">
        <v>22</v>
      </c>
      <c r="N271" t="s">
        <v>45</v>
      </c>
      <c r="O271">
        <f>Table2[[#This Row],[Unit_Cost]]*Table2[[#This Row],[Quantity_Sold]]</f>
        <v>144275.32</v>
      </c>
      <c r="P271">
        <f t="shared" si="4"/>
        <v>-136830.55000000002</v>
      </c>
      <c r="Q271" s="3">
        <f>Table2[[#This Row],[Gross_Profit]]/Table2[[#This Row],[Sales_Amount]]</f>
        <v>-18.379419377630203</v>
      </c>
      <c r="R271" t="str">
        <f>TEXT(Table2[[#This Row],[Sale_Date]],"mmmm")</f>
        <v>October</v>
      </c>
      <c r="S271" s="4">
        <f>YEAR(Table2[[#This Row],[Sale_Date]])</f>
        <v>2023</v>
      </c>
    </row>
    <row r="272" spans="1:19" x14ac:dyDescent="0.35">
      <c r="A272">
        <v>1033</v>
      </c>
      <c r="B272" s="1">
        <v>44989</v>
      </c>
      <c r="C272" t="s">
        <v>14</v>
      </c>
      <c r="D272" t="s">
        <v>21</v>
      </c>
      <c r="E272">
        <v>8499.41</v>
      </c>
      <c r="F272">
        <v>14</v>
      </c>
      <c r="G272" t="s">
        <v>29</v>
      </c>
      <c r="H272">
        <v>362.38</v>
      </c>
      <c r="I272">
        <v>753.81</v>
      </c>
      <c r="J272" t="s">
        <v>17</v>
      </c>
      <c r="K272">
        <v>0.19</v>
      </c>
      <c r="L272" t="s">
        <v>18</v>
      </c>
      <c r="M272" t="s">
        <v>22</v>
      </c>
      <c r="N272" t="s">
        <v>23</v>
      </c>
      <c r="O272">
        <f>Table2[[#This Row],[Unit_Cost]]*Table2[[#This Row],[Quantity_Sold]]</f>
        <v>5073.32</v>
      </c>
      <c r="P272">
        <f t="shared" si="4"/>
        <v>3426.09</v>
      </c>
      <c r="Q272" s="3">
        <f>Table2[[#This Row],[Gross_Profit]]/Table2[[#This Row],[Sales_Amount]]</f>
        <v>0.40309739146599588</v>
      </c>
      <c r="R272" t="str">
        <f>TEXT(Table2[[#This Row],[Sale_Date]],"mmmm")</f>
        <v>March</v>
      </c>
      <c r="S272" s="4">
        <f>YEAR(Table2[[#This Row],[Sale_Date]])</f>
        <v>2023</v>
      </c>
    </row>
    <row r="273" spans="1:19" x14ac:dyDescent="0.35">
      <c r="A273">
        <v>1040</v>
      </c>
      <c r="B273" s="1">
        <v>45076</v>
      </c>
      <c r="C273" t="s">
        <v>42</v>
      </c>
      <c r="D273" t="s">
        <v>25</v>
      </c>
      <c r="E273">
        <v>4284.03</v>
      </c>
      <c r="F273">
        <v>47</v>
      </c>
      <c r="G273" t="s">
        <v>29</v>
      </c>
      <c r="H273">
        <v>1656.82</v>
      </c>
      <c r="I273">
        <v>1750.3799999999901</v>
      </c>
      <c r="J273" t="s">
        <v>30</v>
      </c>
      <c r="K273">
        <v>0.21</v>
      </c>
      <c r="L273" t="s">
        <v>31</v>
      </c>
      <c r="M273" t="s">
        <v>19</v>
      </c>
      <c r="N273" t="s">
        <v>43</v>
      </c>
      <c r="O273">
        <f>Table2[[#This Row],[Unit_Cost]]*Table2[[#This Row],[Quantity_Sold]]</f>
        <v>77870.539999999994</v>
      </c>
      <c r="P273">
        <f t="shared" si="4"/>
        <v>-73586.509999999995</v>
      </c>
      <c r="Q273" s="3">
        <f>Table2[[#This Row],[Gross_Profit]]/Table2[[#This Row],[Sales_Amount]]</f>
        <v>-17.176936202594288</v>
      </c>
      <c r="R273" t="str">
        <f>TEXT(Table2[[#This Row],[Sale_Date]],"mmmm")</f>
        <v>May</v>
      </c>
      <c r="S273" s="4">
        <f>YEAR(Table2[[#This Row],[Sale_Date]])</f>
        <v>2023</v>
      </c>
    </row>
    <row r="274" spans="1:19" x14ac:dyDescent="0.35">
      <c r="A274">
        <v>1039</v>
      </c>
      <c r="B274" s="1">
        <v>45080</v>
      </c>
      <c r="C274" t="s">
        <v>14</v>
      </c>
      <c r="D274" t="s">
        <v>25</v>
      </c>
      <c r="E274">
        <v>3099.02</v>
      </c>
      <c r="F274">
        <v>8</v>
      </c>
      <c r="G274" t="s">
        <v>29</v>
      </c>
      <c r="H274">
        <v>3380.14</v>
      </c>
      <c r="I274">
        <v>3609.3399999999901</v>
      </c>
      <c r="J274" t="s">
        <v>17</v>
      </c>
      <c r="K274">
        <v>0.09</v>
      </c>
      <c r="L274" t="s">
        <v>31</v>
      </c>
      <c r="M274" t="s">
        <v>19</v>
      </c>
      <c r="N274" t="s">
        <v>32</v>
      </c>
      <c r="O274">
        <f>Table2[[#This Row],[Unit_Cost]]*Table2[[#This Row],[Quantity_Sold]]</f>
        <v>27041.119999999999</v>
      </c>
      <c r="P274">
        <f t="shared" si="4"/>
        <v>-23942.1</v>
      </c>
      <c r="Q274" s="3">
        <f>Table2[[#This Row],[Gross_Profit]]/Table2[[#This Row],[Sales_Amount]]</f>
        <v>-7.7257003827016275</v>
      </c>
      <c r="R274" t="str">
        <f>TEXT(Table2[[#This Row],[Sale_Date]],"mmmm")</f>
        <v>June</v>
      </c>
      <c r="S274" s="4">
        <f>YEAR(Table2[[#This Row],[Sale_Date]])</f>
        <v>2023</v>
      </c>
    </row>
    <row r="275" spans="1:19" x14ac:dyDescent="0.35">
      <c r="A275">
        <v>1082</v>
      </c>
      <c r="B275" s="1">
        <v>45082</v>
      </c>
      <c r="C275" t="s">
        <v>33</v>
      </c>
      <c r="D275" t="s">
        <v>34</v>
      </c>
      <c r="E275">
        <v>3320.42</v>
      </c>
      <c r="F275">
        <v>15</v>
      </c>
      <c r="G275" t="s">
        <v>29</v>
      </c>
      <c r="H275">
        <v>1719.47</v>
      </c>
      <c r="I275">
        <v>1832.6</v>
      </c>
      <c r="J275" t="s">
        <v>17</v>
      </c>
      <c r="K275">
        <v>0.12</v>
      </c>
      <c r="L275" t="s">
        <v>31</v>
      </c>
      <c r="M275" t="s">
        <v>19</v>
      </c>
      <c r="N275" t="s">
        <v>36</v>
      </c>
      <c r="O275">
        <f>Table2[[#This Row],[Unit_Cost]]*Table2[[#This Row],[Quantity_Sold]]</f>
        <v>25792.05</v>
      </c>
      <c r="P275">
        <f t="shared" si="4"/>
        <v>-22471.629999999997</v>
      </c>
      <c r="Q275" s="3">
        <f>Table2[[#This Row],[Gross_Profit]]/Table2[[#This Row],[Sales_Amount]]</f>
        <v>-6.7677070972949194</v>
      </c>
      <c r="R275" t="str">
        <f>TEXT(Table2[[#This Row],[Sale_Date]],"mmmm")</f>
        <v>June</v>
      </c>
      <c r="S275" s="4">
        <f>YEAR(Table2[[#This Row],[Sale_Date]])</f>
        <v>2023</v>
      </c>
    </row>
    <row r="276" spans="1:19" x14ac:dyDescent="0.35">
      <c r="A276">
        <v>1001</v>
      </c>
      <c r="B276" s="1">
        <v>44975</v>
      </c>
      <c r="C276" t="s">
        <v>24</v>
      </c>
      <c r="D276" t="s">
        <v>21</v>
      </c>
      <c r="E276">
        <v>7154.95</v>
      </c>
      <c r="F276">
        <v>27</v>
      </c>
      <c r="G276" t="s">
        <v>29</v>
      </c>
      <c r="H276">
        <v>939.02</v>
      </c>
      <c r="I276">
        <v>1286.92</v>
      </c>
      <c r="J276" t="s">
        <v>17</v>
      </c>
      <c r="K276">
        <v>7.0000000000000007E-2</v>
      </c>
      <c r="L276" t="s">
        <v>31</v>
      </c>
      <c r="M276" t="s">
        <v>22</v>
      </c>
      <c r="N276" t="s">
        <v>47</v>
      </c>
      <c r="O276">
        <f>Table2[[#This Row],[Unit_Cost]]*Table2[[#This Row],[Quantity_Sold]]</f>
        <v>25353.54</v>
      </c>
      <c r="P276">
        <f t="shared" si="4"/>
        <v>-18198.59</v>
      </c>
      <c r="Q276" s="3">
        <f>Table2[[#This Row],[Gross_Profit]]/Table2[[#This Row],[Sales_Amount]]</f>
        <v>-2.5434964604923866</v>
      </c>
      <c r="R276" t="str">
        <f>TEXT(Table2[[#This Row],[Sale_Date]],"mmmm")</f>
        <v>February</v>
      </c>
      <c r="S276" s="4">
        <f>YEAR(Table2[[#This Row],[Sale_Date]])</f>
        <v>2023</v>
      </c>
    </row>
    <row r="277" spans="1:19" x14ac:dyDescent="0.35">
      <c r="A277">
        <v>1011</v>
      </c>
      <c r="B277" s="1">
        <v>45263</v>
      </c>
      <c r="C277" t="s">
        <v>14</v>
      </c>
      <c r="D277" t="s">
        <v>34</v>
      </c>
      <c r="E277">
        <v>8186.12</v>
      </c>
      <c r="F277">
        <v>13</v>
      </c>
      <c r="G277" t="s">
        <v>35</v>
      </c>
      <c r="H277">
        <v>1442.69</v>
      </c>
      <c r="I277">
        <v>1882.57</v>
      </c>
      <c r="J277" t="s">
        <v>17</v>
      </c>
      <c r="K277">
        <v>0.28000000000000003</v>
      </c>
      <c r="L277" t="s">
        <v>18</v>
      </c>
      <c r="M277" t="s">
        <v>19</v>
      </c>
      <c r="N277" t="s">
        <v>46</v>
      </c>
      <c r="O277">
        <f>Table2[[#This Row],[Unit_Cost]]*Table2[[#This Row],[Quantity_Sold]]</f>
        <v>18754.97</v>
      </c>
      <c r="P277">
        <f t="shared" si="4"/>
        <v>-10568.850000000002</v>
      </c>
      <c r="Q277" s="3">
        <f>Table2[[#This Row],[Gross_Profit]]/Table2[[#This Row],[Sales_Amount]]</f>
        <v>-1.2910695176713758</v>
      </c>
      <c r="R277" t="str">
        <f>TEXT(Table2[[#This Row],[Sale_Date]],"mmmm")</f>
        <v>December</v>
      </c>
      <c r="S277" s="4">
        <f>YEAR(Table2[[#This Row],[Sale_Date]])</f>
        <v>2023</v>
      </c>
    </row>
    <row r="278" spans="1:19" x14ac:dyDescent="0.35">
      <c r="A278">
        <v>1092</v>
      </c>
      <c r="B278" s="1">
        <v>45010</v>
      </c>
      <c r="C278" t="s">
        <v>42</v>
      </c>
      <c r="D278" t="s">
        <v>21</v>
      </c>
      <c r="E278">
        <v>1897.98</v>
      </c>
      <c r="F278">
        <v>49</v>
      </c>
      <c r="G278" t="s">
        <v>16</v>
      </c>
      <c r="H278">
        <v>2315</v>
      </c>
      <c r="I278">
        <v>2467.2800000000002</v>
      </c>
      <c r="J278" t="s">
        <v>30</v>
      </c>
      <c r="K278">
        <v>0.15</v>
      </c>
      <c r="L278" t="s">
        <v>27</v>
      </c>
      <c r="M278" t="s">
        <v>22</v>
      </c>
      <c r="N278" t="s">
        <v>51</v>
      </c>
      <c r="O278">
        <f>Table2[[#This Row],[Unit_Cost]]*Table2[[#This Row],[Quantity_Sold]]</f>
        <v>113435</v>
      </c>
      <c r="P278">
        <f t="shared" si="4"/>
        <v>-111537.02</v>
      </c>
      <c r="Q278" s="3">
        <f>Table2[[#This Row],[Gross_Profit]]/Table2[[#This Row],[Sales_Amount]]</f>
        <v>-58.766172457033271</v>
      </c>
      <c r="R278" t="str">
        <f>TEXT(Table2[[#This Row],[Sale_Date]],"mmmm")</f>
        <v>March</v>
      </c>
      <c r="S278" s="4">
        <f>YEAR(Table2[[#This Row],[Sale_Date]])</f>
        <v>2023</v>
      </c>
    </row>
    <row r="279" spans="1:19" x14ac:dyDescent="0.35">
      <c r="A279">
        <v>1057</v>
      </c>
      <c r="B279" s="1">
        <v>45287</v>
      </c>
      <c r="C279" t="s">
        <v>14</v>
      </c>
      <c r="D279" t="s">
        <v>25</v>
      </c>
      <c r="E279">
        <v>3772.32</v>
      </c>
      <c r="F279">
        <v>31</v>
      </c>
      <c r="G279" t="s">
        <v>16</v>
      </c>
      <c r="H279">
        <v>2403.16</v>
      </c>
      <c r="I279">
        <v>2453.35</v>
      </c>
      <c r="J279" t="s">
        <v>17</v>
      </c>
      <c r="K279">
        <v>0.19</v>
      </c>
      <c r="L279" t="s">
        <v>31</v>
      </c>
      <c r="M279" t="s">
        <v>19</v>
      </c>
      <c r="N279" t="s">
        <v>32</v>
      </c>
      <c r="O279">
        <f>Table2[[#This Row],[Unit_Cost]]*Table2[[#This Row],[Quantity_Sold]]</f>
        <v>74497.959999999992</v>
      </c>
      <c r="P279">
        <f t="shared" si="4"/>
        <v>-70725.639999999985</v>
      </c>
      <c r="Q279" s="3">
        <f>Table2[[#This Row],[Gross_Profit]]/Table2[[#This Row],[Sales_Amount]]</f>
        <v>-18.748579123722266</v>
      </c>
      <c r="R279" t="str">
        <f>TEXT(Table2[[#This Row],[Sale_Date]],"mmmm")</f>
        <v>December</v>
      </c>
      <c r="S279" s="4">
        <f>YEAR(Table2[[#This Row],[Sale_Date]])</f>
        <v>2023</v>
      </c>
    </row>
    <row r="280" spans="1:19" x14ac:dyDescent="0.35">
      <c r="A280">
        <v>1089</v>
      </c>
      <c r="B280" s="1">
        <v>45103</v>
      </c>
      <c r="C280" t="s">
        <v>38</v>
      </c>
      <c r="D280" t="s">
        <v>15</v>
      </c>
      <c r="E280">
        <v>9029.2099999999991</v>
      </c>
      <c r="F280">
        <v>35</v>
      </c>
      <c r="G280" t="s">
        <v>16</v>
      </c>
      <c r="H280">
        <v>3925.85</v>
      </c>
      <c r="I280">
        <v>4082.1099999999901</v>
      </c>
      <c r="J280" t="s">
        <v>30</v>
      </c>
      <c r="K280">
        <v>0.22</v>
      </c>
      <c r="L280" t="s">
        <v>18</v>
      </c>
      <c r="M280" t="s">
        <v>19</v>
      </c>
      <c r="N280" t="s">
        <v>40</v>
      </c>
      <c r="O280">
        <f>Table2[[#This Row],[Unit_Cost]]*Table2[[#This Row],[Quantity_Sold]]</f>
        <v>137404.75</v>
      </c>
      <c r="P280">
        <f t="shared" si="4"/>
        <v>-128375.54000000001</v>
      </c>
      <c r="Q280" s="3">
        <f>Table2[[#This Row],[Gross_Profit]]/Table2[[#This Row],[Sales_Amount]]</f>
        <v>-14.217804215429702</v>
      </c>
      <c r="R280" t="str">
        <f>TEXT(Table2[[#This Row],[Sale_Date]],"mmmm")</f>
        <v>June</v>
      </c>
      <c r="S280" s="4">
        <f>YEAR(Table2[[#This Row],[Sale_Date]])</f>
        <v>2023</v>
      </c>
    </row>
    <row r="281" spans="1:19" x14ac:dyDescent="0.35">
      <c r="A281">
        <v>1050</v>
      </c>
      <c r="B281" s="1">
        <v>45074</v>
      </c>
      <c r="C281" t="s">
        <v>42</v>
      </c>
      <c r="D281" t="s">
        <v>15</v>
      </c>
      <c r="E281">
        <v>8086.27</v>
      </c>
      <c r="F281">
        <v>6</v>
      </c>
      <c r="G281" t="s">
        <v>16</v>
      </c>
      <c r="H281">
        <v>3763.26</v>
      </c>
      <c r="I281">
        <v>4102.72</v>
      </c>
      <c r="J281" t="s">
        <v>30</v>
      </c>
      <c r="K281">
        <v>0.11</v>
      </c>
      <c r="L281" t="s">
        <v>31</v>
      </c>
      <c r="M281" t="s">
        <v>22</v>
      </c>
      <c r="N281" t="s">
        <v>49</v>
      </c>
      <c r="O281">
        <f>Table2[[#This Row],[Unit_Cost]]*Table2[[#This Row],[Quantity_Sold]]</f>
        <v>22579.56</v>
      </c>
      <c r="P281">
        <f t="shared" si="4"/>
        <v>-14493.29</v>
      </c>
      <c r="Q281" s="3">
        <f>Table2[[#This Row],[Gross_Profit]]/Table2[[#This Row],[Sales_Amount]]</f>
        <v>-1.7923331771014324</v>
      </c>
      <c r="R281" t="str">
        <f>TEXT(Table2[[#This Row],[Sale_Date]],"mmmm")</f>
        <v>May</v>
      </c>
      <c r="S281" s="4">
        <f>YEAR(Table2[[#This Row],[Sale_Date]])</f>
        <v>2023</v>
      </c>
    </row>
    <row r="282" spans="1:19" x14ac:dyDescent="0.35">
      <c r="A282">
        <v>1023</v>
      </c>
      <c r="B282" s="1">
        <v>45044</v>
      </c>
      <c r="C282" t="s">
        <v>33</v>
      </c>
      <c r="D282" t="s">
        <v>15</v>
      </c>
      <c r="E282">
        <v>9850.1</v>
      </c>
      <c r="F282">
        <v>5</v>
      </c>
      <c r="G282" t="s">
        <v>35</v>
      </c>
      <c r="H282">
        <v>2311.25</v>
      </c>
      <c r="I282">
        <v>2482.34</v>
      </c>
      <c r="J282" t="s">
        <v>17</v>
      </c>
      <c r="K282">
        <v>0.22</v>
      </c>
      <c r="L282" t="s">
        <v>31</v>
      </c>
      <c r="M282" t="s">
        <v>22</v>
      </c>
      <c r="N282" t="s">
        <v>53</v>
      </c>
      <c r="O282">
        <f>Table2[[#This Row],[Unit_Cost]]*Table2[[#This Row],[Quantity_Sold]]</f>
        <v>11556.25</v>
      </c>
      <c r="P282">
        <f t="shared" si="4"/>
        <v>-1706.1499999999996</v>
      </c>
      <c r="Q282" s="3">
        <f>Table2[[#This Row],[Gross_Profit]]/Table2[[#This Row],[Sales_Amount]]</f>
        <v>-0.17321143947777176</v>
      </c>
      <c r="R282" t="str">
        <f>TEXT(Table2[[#This Row],[Sale_Date]],"mmmm")</f>
        <v>April</v>
      </c>
      <c r="S282" s="4">
        <f>YEAR(Table2[[#This Row],[Sale_Date]])</f>
        <v>2023</v>
      </c>
    </row>
    <row r="283" spans="1:19" x14ac:dyDescent="0.35">
      <c r="A283">
        <v>1031</v>
      </c>
      <c r="B283" s="1">
        <v>45268</v>
      </c>
      <c r="C283" t="s">
        <v>24</v>
      </c>
      <c r="D283" t="s">
        <v>15</v>
      </c>
      <c r="E283">
        <v>7567.06</v>
      </c>
      <c r="F283">
        <v>22</v>
      </c>
      <c r="G283" t="s">
        <v>26</v>
      </c>
      <c r="H283">
        <v>4236.05</v>
      </c>
      <c r="I283">
        <v>4382.32</v>
      </c>
      <c r="J283" t="s">
        <v>30</v>
      </c>
      <c r="K283">
        <v>0.2</v>
      </c>
      <c r="L283" t="s">
        <v>27</v>
      </c>
      <c r="M283" t="s">
        <v>19</v>
      </c>
      <c r="N283" t="s">
        <v>45</v>
      </c>
      <c r="O283">
        <f>Table2[[#This Row],[Unit_Cost]]*Table2[[#This Row],[Quantity_Sold]]</f>
        <v>93193.1</v>
      </c>
      <c r="P283">
        <f t="shared" si="4"/>
        <v>-85626.040000000008</v>
      </c>
      <c r="Q283" s="3">
        <f>Table2[[#This Row],[Gross_Profit]]/Table2[[#This Row],[Sales_Amount]]</f>
        <v>-11.315628526799047</v>
      </c>
      <c r="R283" t="str">
        <f>TEXT(Table2[[#This Row],[Sale_Date]],"mmmm")</f>
        <v>December</v>
      </c>
      <c r="S283" s="4">
        <f>YEAR(Table2[[#This Row],[Sale_Date]])</f>
        <v>2023</v>
      </c>
    </row>
    <row r="284" spans="1:19" x14ac:dyDescent="0.35">
      <c r="A284">
        <v>1094</v>
      </c>
      <c r="B284" s="1">
        <v>44989</v>
      </c>
      <c r="C284" t="s">
        <v>14</v>
      </c>
      <c r="D284" t="s">
        <v>15</v>
      </c>
      <c r="E284">
        <v>3992.63</v>
      </c>
      <c r="F284">
        <v>49</v>
      </c>
      <c r="G284" t="s">
        <v>26</v>
      </c>
      <c r="H284">
        <v>615.47</v>
      </c>
      <c r="I284">
        <v>715.84</v>
      </c>
      <c r="J284" t="s">
        <v>17</v>
      </c>
      <c r="K284">
        <v>0.21</v>
      </c>
      <c r="L284" t="s">
        <v>31</v>
      </c>
      <c r="M284" t="s">
        <v>22</v>
      </c>
      <c r="N284" t="s">
        <v>20</v>
      </c>
      <c r="O284">
        <f>Table2[[#This Row],[Unit_Cost]]*Table2[[#This Row],[Quantity_Sold]]</f>
        <v>30158.030000000002</v>
      </c>
      <c r="P284">
        <f t="shared" si="4"/>
        <v>-26165.4</v>
      </c>
      <c r="Q284" s="3">
        <f>Table2[[#This Row],[Gross_Profit]]/Table2[[#This Row],[Sales_Amount]]</f>
        <v>-6.5534246849820796</v>
      </c>
      <c r="R284" t="str">
        <f>TEXT(Table2[[#This Row],[Sale_Date]],"mmmm")</f>
        <v>March</v>
      </c>
      <c r="S284" s="4">
        <f>YEAR(Table2[[#This Row],[Sale_Date]])</f>
        <v>2023</v>
      </c>
    </row>
    <row r="285" spans="1:19" x14ac:dyDescent="0.35">
      <c r="A285">
        <v>1042</v>
      </c>
      <c r="B285" s="1">
        <v>45115</v>
      </c>
      <c r="C285" t="s">
        <v>42</v>
      </c>
      <c r="D285" t="s">
        <v>34</v>
      </c>
      <c r="E285">
        <v>5947.31</v>
      </c>
      <c r="F285">
        <v>23</v>
      </c>
      <c r="G285" t="s">
        <v>35</v>
      </c>
      <c r="H285">
        <v>1314</v>
      </c>
      <c r="I285">
        <v>1567.78</v>
      </c>
      <c r="J285" t="s">
        <v>17</v>
      </c>
      <c r="K285">
        <v>0.15</v>
      </c>
      <c r="L285" t="s">
        <v>31</v>
      </c>
      <c r="M285" t="s">
        <v>22</v>
      </c>
      <c r="N285" t="s">
        <v>52</v>
      </c>
      <c r="O285">
        <f>Table2[[#This Row],[Unit_Cost]]*Table2[[#This Row],[Quantity_Sold]]</f>
        <v>30222</v>
      </c>
      <c r="P285">
        <f t="shared" si="4"/>
        <v>-24274.69</v>
      </c>
      <c r="Q285" s="3">
        <f>Table2[[#This Row],[Gross_Profit]]/Table2[[#This Row],[Sales_Amount]]</f>
        <v>-4.0816251380876389</v>
      </c>
      <c r="R285" t="str">
        <f>TEXT(Table2[[#This Row],[Sale_Date]],"mmmm")</f>
        <v>July</v>
      </c>
      <c r="S285" s="4">
        <f>YEAR(Table2[[#This Row],[Sale_Date]])</f>
        <v>2023</v>
      </c>
    </row>
    <row r="286" spans="1:19" x14ac:dyDescent="0.35">
      <c r="A286">
        <v>1099</v>
      </c>
      <c r="B286" s="1">
        <v>45286</v>
      </c>
      <c r="C286" t="s">
        <v>38</v>
      </c>
      <c r="D286" t="s">
        <v>21</v>
      </c>
      <c r="E286">
        <v>6644.04</v>
      </c>
      <c r="F286">
        <v>25</v>
      </c>
      <c r="G286" t="s">
        <v>35</v>
      </c>
      <c r="H286">
        <v>4148.4799999999996</v>
      </c>
      <c r="I286">
        <v>4293.6899999999996</v>
      </c>
      <c r="J286" t="s">
        <v>30</v>
      </c>
      <c r="K286">
        <v>0.11</v>
      </c>
      <c r="L286" t="s">
        <v>27</v>
      </c>
      <c r="M286" t="s">
        <v>19</v>
      </c>
      <c r="N286" t="s">
        <v>41</v>
      </c>
      <c r="O286">
        <f>Table2[[#This Row],[Unit_Cost]]*Table2[[#This Row],[Quantity_Sold]]</f>
        <v>103711.99999999999</v>
      </c>
      <c r="P286">
        <f t="shared" si="4"/>
        <v>-97067.959999999992</v>
      </c>
      <c r="Q286" s="3">
        <f>Table2[[#This Row],[Gross_Profit]]/Table2[[#This Row],[Sales_Amount]]</f>
        <v>-14.609779591935027</v>
      </c>
      <c r="R286" t="str">
        <f>TEXT(Table2[[#This Row],[Sale_Date]],"mmmm")</f>
        <v>December</v>
      </c>
      <c r="S286" s="4">
        <f>YEAR(Table2[[#This Row],[Sale_Date]])</f>
        <v>2023</v>
      </c>
    </row>
    <row r="287" spans="1:19" x14ac:dyDescent="0.35">
      <c r="A287">
        <v>1007</v>
      </c>
      <c r="B287" s="1">
        <v>44975</v>
      </c>
      <c r="C287" t="s">
        <v>42</v>
      </c>
      <c r="D287" t="s">
        <v>25</v>
      </c>
      <c r="E287">
        <v>876.71</v>
      </c>
      <c r="F287">
        <v>34</v>
      </c>
      <c r="G287" t="s">
        <v>29</v>
      </c>
      <c r="H287">
        <v>1921.07</v>
      </c>
      <c r="I287">
        <v>2289.27</v>
      </c>
      <c r="J287" t="s">
        <v>17</v>
      </c>
      <c r="K287">
        <v>7.0000000000000007E-2</v>
      </c>
      <c r="L287" t="s">
        <v>27</v>
      </c>
      <c r="M287" t="s">
        <v>22</v>
      </c>
      <c r="N287" t="s">
        <v>43</v>
      </c>
      <c r="O287">
        <f>Table2[[#This Row],[Unit_Cost]]*Table2[[#This Row],[Quantity_Sold]]</f>
        <v>65316.38</v>
      </c>
      <c r="P287">
        <f t="shared" si="4"/>
        <v>-64439.67</v>
      </c>
      <c r="Q287" s="3">
        <f>Table2[[#This Row],[Gross_Profit]]/Table2[[#This Row],[Sales_Amount]]</f>
        <v>-73.501693832624241</v>
      </c>
      <c r="R287" t="str">
        <f>TEXT(Table2[[#This Row],[Sale_Date]],"mmmm")</f>
        <v>February</v>
      </c>
      <c r="S287" s="4">
        <f>YEAR(Table2[[#This Row],[Sale_Date]])</f>
        <v>2023</v>
      </c>
    </row>
    <row r="288" spans="1:19" x14ac:dyDescent="0.35">
      <c r="A288">
        <v>1016</v>
      </c>
      <c r="B288" s="1">
        <v>45253</v>
      </c>
      <c r="C288" t="s">
        <v>38</v>
      </c>
      <c r="D288" t="s">
        <v>34</v>
      </c>
      <c r="E288">
        <v>5490.52</v>
      </c>
      <c r="F288">
        <v>26</v>
      </c>
      <c r="G288" t="s">
        <v>29</v>
      </c>
      <c r="H288">
        <v>4906.8500000000004</v>
      </c>
      <c r="I288">
        <v>4954.3900000000003</v>
      </c>
      <c r="J288" t="s">
        <v>30</v>
      </c>
      <c r="K288">
        <v>0.25</v>
      </c>
      <c r="L288" t="s">
        <v>27</v>
      </c>
      <c r="M288" t="s">
        <v>19</v>
      </c>
      <c r="N288" t="s">
        <v>48</v>
      </c>
      <c r="O288">
        <f>Table2[[#This Row],[Unit_Cost]]*Table2[[#This Row],[Quantity_Sold]]</f>
        <v>127578.1</v>
      </c>
      <c r="P288">
        <f t="shared" si="4"/>
        <v>-122087.58</v>
      </c>
      <c r="Q288" s="3">
        <f>Table2[[#This Row],[Gross_Profit]]/Table2[[#This Row],[Sales_Amount]]</f>
        <v>-22.236068714802968</v>
      </c>
      <c r="R288" t="str">
        <f>TEXT(Table2[[#This Row],[Sale_Date]],"mmmm")</f>
        <v>November</v>
      </c>
      <c r="S288" s="4">
        <f>YEAR(Table2[[#This Row],[Sale_Date]])</f>
        <v>2023</v>
      </c>
    </row>
    <row r="289" spans="1:19" x14ac:dyDescent="0.35">
      <c r="A289">
        <v>1090</v>
      </c>
      <c r="B289" s="1">
        <v>45183</v>
      </c>
      <c r="C289" t="s">
        <v>33</v>
      </c>
      <c r="D289" t="s">
        <v>21</v>
      </c>
      <c r="E289">
        <v>7122.28</v>
      </c>
      <c r="F289">
        <v>47</v>
      </c>
      <c r="G289" t="s">
        <v>29</v>
      </c>
      <c r="H289">
        <v>2357.9499999999998</v>
      </c>
      <c r="I289">
        <v>2693.33</v>
      </c>
      <c r="J289" t="s">
        <v>30</v>
      </c>
      <c r="K289">
        <v>0.18</v>
      </c>
      <c r="L289" t="s">
        <v>27</v>
      </c>
      <c r="M289" t="s">
        <v>19</v>
      </c>
      <c r="N289" t="s">
        <v>37</v>
      </c>
      <c r="O289">
        <f>Table2[[#This Row],[Unit_Cost]]*Table2[[#This Row],[Quantity_Sold]]</f>
        <v>110823.65</v>
      </c>
      <c r="P289">
        <f t="shared" si="4"/>
        <v>-103701.37</v>
      </c>
      <c r="Q289" s="3">
        <f>Table2[[#This Row],[Gross_Profit]]/Table2[[#This Row],[Sales_Amount]]</f>
        <v>-14.560136641637229</v>
      </c>
      <c r="R289" t="str">
        <f>TEXT(Table2[[#This Row],[Sale_Date]],"mmmm")</f>
        <v>September</v>
      </c>
      <c r="S289" s="4">
        <f>YEAR(Table2[[#This Row],[Sale_Date]])</f>
        <v>2023</v>
      </c>
    </row>
    <row r="290" spans="1:19" x14ac:dyDescent="0.35">
      <c r="A290">
        <v>1060</v>
      </c>
      <c r="B290" s="1">
        <v>45150</v>
      </c>
      <c r="C290" t="s">
        <v>24</v>
      </c>
      <c r="D290" t="s">
        <v>15</v>
      </c>
      <c r="E290">
        <v>1756.48</v>
      </c>
      <c r="F290">
        <v>5</v>
      </c>
      <c r="G290" t="s">
        <v>16</v>
      </c>
      <c r="H290">
        <v>3970.08</v>
      </c>
      <c r="I290">
        <v>4096.4799999999996</v>
      </c>
      <c r="J290" t="s">
        <v>17</v>
      </c>
      <c r="K290">
        <v>0.13</v>
      </c>
      <c r="L290" t="s">
        <v>18</v>
      </c>
      <c r="M290" t="s">
        <v>22</v>
      </c>
      <c r="N290" t="s">
        <v>45</v>
      </c>
      <c r="O290">
        <f>Table2[[#This Row],[Unit_Cost]]*Table2[[#This Row],[Quantity_Sold]]</f>
        <v>19850.400000000001</v>
      </c>
      <c r="P290">
        <f t="shared" si="4"/>
        <v>-18093.920000000002</v>
      </c>
      <c r="Q290" s="3">
        <f>Table2[[#This Row],[Gross_Profit]]/Table2[[#This Row],[Sales_Amount]]</f>
        <v>-10.301238841319003</v>
      </c>
      <c r="R290" t="str">
        <f>TEXT(Table2[[#This Row],[Sale_Date]],"mmmm")</f>
        <v>August</v>
      </c>
      <c r="S290" s="4">
        <f>YEAR(Table2[[#This Row],[Sale_Date]])</f>
        <v>2023</v>
      </c>
    </row>
    <row r="291" spans="1:19" x14ac:dyDescent="0.35">
      <c r="A291">
        <v>1002</v>
      </c>
      <c r="B291" s="1">
        <v>45067</v>
      </c>
      <c r="C291" t="s">
        <v>33</v>
      </c>
      <c r="D291" t="s">
        <v>21</v>
      </c>
      <c r="E291">
        <v>7828.25</v>
      </c>
      <c r="F291">
        <v>26</v>
      </c>
      <c r="G291" t="s">
        <v>29</v>
      </c>
      <c r="H291">
        <v>2041.42</v>
      </c>
      <c r="I291">
        <v>2291.17</v>
      </c>
      <c r="J291" t="s">
        <v>17</v>
      </c>
      <c r="K291">
        <v>0.28000000000000003</v>
      </c>
      <c r="L291" t="s">
        <v>18</v>
      </c>
      <c r="M291" t="s">
        <v>19</v>
      </c>
      <c r="N291" t="s">
        <v>37</v>
      </c>
      <c r="O291">
        <f>Table2[[#This Row],[Unit_Cost]]*Table2[[#This Row],[Quantity_Sold]]</f>
        <v>53076.92</v>
      </c>
      <c r="P291">
        <f t="shared" si="4"/>
        <v>-45248.67</v>
      </c>
      <c r="Q291" s="3">
        <f>Table2[[#This Row],[Gross_Profit]]/Table2[[#This Row],[Sales_Amount]]</f>
        <v>-5.780176923322581</v>
      </c>
      <c r="R291" t="str">
        <f>TEXT(Table2[[#This Row],[Sale_Date]],"mmmm")</f>
        <v>May</v>
      </c>
      <c r="S291" s="4">
        <f>YEAR(Table2[[#This Row],[Sale_Date]])</f>
        <v>2023</v>
      </c>
    </row>
    <row r="292" spans="1:19" x14ac:dyDescent="0.35">
      <c r="A292">
        <v>1001</v>
      </c>
      <c r="B292" s="1">
        <v>45141</v>
      </c>
      <c r="C292" t="s">
        <v>14</v>
      </c>
      <c r="D292" t="s">
        <v>21</v>
      </c>
      <c r="E292">
        <v>5879.35</v>
      </c>
      <c r="F292">
        <v>20</v>
      </c>
      <c r="G292" t="s">
        <v>26</v>
      </c>
      <c r="H292">
        <v>2153.52</v>
      </c>
      <c r="I292">
        <v>2303.6999999999998</v>
      </c>
      <c r="J292" t="s">
        <v>17</v>
      </c>
      <c r="K292">
        <v>0.01</v>
      </c>
      <c r="L292" t="s">
        <v>18</v>
      </c>
      <c r="M292" t="s">
        <v>22</v>
      </c>
      <c r="N292" t="s">
        <v>23</v>
      </c>
      <c r="O292">
        <f>Table2[[#This Row],[Unit_Cost]]*Table2[[#This Row],[Quantity_Sold]]</f>
        <v>43070.400000000001</v>
      </c>
      <c r="P292">
        <f t="shared" si="4"/>
        <v>-37191.050000000003</v>
      </c>
      <c r="Q292" s="3">
        <f>Table2[[#This Row],[Gross_Profit]]/Table2[[#This Row],[Sales_Amount]]</f>
        <v>-6.3257077738185341</v>
      </c>
      <c r="R292" t="str">
        <f>TEXT(Table2[[#This Row],[Sale_Date]],"mmmm")</f>
        <v>August</v>
      </c>
      <c r="S292" s="4">
        <f>YEAR(Table2[[#This Row],[Sale_Date]])</f>
        <v>2023</v>
      </c>
    </row>
    <row r="293" spans="1:19" x14ac:dyDescent="0.35">
      <c r="A293">
        <v>1048</v>
      </c>
      <c r="B293" s="1">
        <v>45137</v>
      </c>
      <c r="C293" t="s">
        <v>42</v>
      </c>
      <c r="D293" t="s">
        <v>15</v>
      </c>
      <c r="E293">
        <v>9527</v>
      </c>
      <c r="F293">
        <v>6</v>
      </c>
      <c r="G293" t="s">
        <v>16</v>
      </c>
      <c r="H293">
        <v>1945.27</v>
      </c>
      <c r="I293">
        <v>2309.4299999999998</v>
      </c>
      <c r="J293" t="s">
        <v>30</v>
      </c>
      <c r="K293">
        <v>0.26</v>
      </c>
      <c r="L293" t="s">
        <v>31</v>
      </c>
      <c r="M293" t="s">
        <v>19</v>
      </c>
      <c r="N293" t="s">
        <v>49</v>
      </c>
      <c r="O293">
        <f>Table2[[#This Row],[Unit_Cost]]*Table2[[#This Row],[Quantity_Sold]]</f>
        <v>11671.619999999999</v>
      </c>
      <c r="P293">
        <f t="shared" si="4"/>
        <v>-2144.619999999999</v>
      </c>
      <c r="Q293" s="3">
        <f>Table2[[#This Row],[Gross_Profit]]/Table2[[#This Row],[Sales_Amount]]</f>
        <v>-0.22510968825443467</v>
      </c>
      <c r="R293" t="str">
        <f>TEXT(Table2[[#This Row],[Sale_Date]],"mmmm")</f>
        <v>July</v>
      </c>
      <c r="S293" s="4">
        <f>YEAR(Table2[[#This Row],[Sale_Date]])</f>
        <v>2023</v>
      </c>
    </row>
    <row r="294" spans="1:19" x14ac:dyDescent="0.35">
      <c r="A294">
        <v>1012</v>
      </c>
      <c r="B294" s="1">
        <v>45244</v>
      </c>
      <c r="C294" t="s">
        <v>38</v>
      </c>
      <c r="D294" t="s">
        <v>15</v>
      </c>
      <c r="E294">
        <v>519.98</v>
      </c>
      <c r="F294">
        <v>6</v>
      </c>
      <c r="G294" t="s">
        <v>29</v>
      </c>
      <c r="H294">
        <v>3609.42</v>
      </c>
      <c r="I294">
        <v>4082.62</v>
      </c>
      <c r="J294" t="s">
        <v>17</v>
      </c>
      <c r="K294">
        <v>0.3</v>
      </c>
      <c r="L294" t="s">
        <v>27</v>
      </c>
      <c r="M294" t="s">
        <v>22</v>
      </c>
      <c r="N294" t="s">
        <v>40</v>
      </c>
      <c r="O294">
        <f>Table2[[#This Row],[Unit_Cost]]*Table2[[#This Row],[Quantity_Sold]]</f>
        <v>21656.52</v>
      </c>
      <c r="P294">
        <f t="shared" si="4"/>
        <v>-21136.54</v>
      </c>
      <c r="Q294" s="3">
        <f>Table2[[#This Row],[Gross_Profit]]/Table2[[#This Row],[Sales_Amount]]</f>
        <v>-40.648755721373902</v>
      </c>
      <c r="R294" t="str">
        <f>TEXT(Table2[[#This Row],[Sale_Date]],"mmmm")</f>
        <v>November</v>
      </c>
      <c r="S294" s="4">
        <f>YEAR(Table2[[#This Row],[Sale_Date]])</f>
        <v>2023</v>
      </c>
    </row>
    <row r="295" spans="1:19" x14ac:dyDescent="0.35">
      <c r="A295">
        <v>1069</v>
      </c>
      <c r="B295" s="1">
        <v>44958</v>
      </c>
      <c r="C295" t="s">
        <v>38</v>
      </c>
      <c r="D295" t="s">
        <v>15</v>
      </c>
      <c r="E295">
        <v>2726.73</v>
      </c>
      <c r="F295">
        <v>18</v>
      </c>
      <c r="G295" t="s">
        <v>16</v>
      </c>
      <c r="H295">
        <v>2760.21</v>
      </c>
      <c r="I295">
        <v>3219.58</v>
      </c>
      <c r="J295" t="s">
        <v>30</v>
      </c>
      <c r="K295">
        <v>0.27</v>
      </c>
      <c r="L295" t="s">
        <v>27</v>
      </c>
      <c r="M295" t="s">
        <v>22</v>
      </c>
      <c r="N295" t="s">
        <v>40</v>
      </c>
      <c r="O295">
        <f>Table2[[#This Row],[Unit_Cost]]*Table2[[#This Row],[Quantity_Sold]]</f>
        <v>49683.78</v>
      </c>
      <c r="P295">
        <f t="shared" si="4"/>
        <v>-46957.049999999996</v>
      </c>
      <c r="Q295" s="3">
        <f>Table2[[#This Row],[Gross_Profit]]/Table2[[#This Row],[Sales_Amount]]</f>
        <v>-17.221011981384294</v>
      </c>
      <c r="R295" t="str">
        <f>TEXT(Table2[[#This Row],[Sale_Date]],"mmmm")</f>
        <v>February</v>
      </c>
      <c r="S295" s="4">
        <f>YEAR(Table2[[#This Row],[Sale_Date]])</f>
        <v>2023</v>
      </c>
    </row>
    <row r="296" spans="1:19" x14ac:dyDescent="0.35">
      <c r="A296">
        <v>1037</v>
      </c>
      <c r="B296" s="1">
        <v>45084</v>
      </c>
      <c r="C296" t="s">
        <v>42</v>
      </c>
      <c r="D296" t="s">
        <v>25</v>
      </c>
      <c r="E296">
        <v>6055.38</v>
      </c>
      <c r="F296">
        <v>4</v>
      </c>
      <c r="G296" t="s">
        <v>26</v>
      </c>
      <c r="H296">
        <v>4721.7</v>
      </c>
      <c r="I296">
        <v>5017.58</v>
      </c>
      <c r="J296" t="s">
        <v>30</v>
      </c>
      <c r="K296">
        <v>0.24</v>
      </c>
      <c r="L296" t="s">
        <v>18</v>
      </c>
      <c r="M296" t="s">
        <v>22</v>
      </c>
      <c r="N296" t="s">
        <v>43</v>
      </c>
      <c r="O296">
        <f>Table2[[#This Row],[Unit_Cost]]*Table2[[#This Row],[Quantity_Sold]]</f>
        <v>18886.8</v>
      </c>
      <c r="P296">
        <f t="shared" si="4"/>
        <v>-12831.419999999998</v>
      </c>
      <c r="Q296" s="3">
        <f>Table2[[#This Row],[Gross_Profit]]/Table2[[#This Row],[Sales_Amount]]</f>
        <v>-2.1190115236368317</v>
      </c>
      <c r="R296" t="str">
        <f>TEXT(Table2[[#This Row],[Sale_Date]],"mmmm")</f>
        <v>June</v>
      </c>
      <c r="S296" s="4">
        <f>YEAR(Table2[[#This Row],[Sale_Date]])</f>
        <v>2023</v>
      </c>
    </row>
    <row r="297" spans="1:19" x14ac:dyDescent="0.35">
      <c r="A297">
        <v>1032</v>
      </c>
      <c r="B297" s="1">
        <v>45211</v>
      </c>
      <c r="C297" t="s">
        <v>42</v>
      </c>
      <c r="D297" t="s">
        <v>15</v>
      </c>
      <c r="E297">
        <v>3035.94</v>
      </c>
      <c r="F297">
        <v>17</v>
      </c>
      <c r="G297" t="s">
        <v>29</v>
      </c>
      <c r="H297">
        <v>1291.9100000000001</v>
      </c>
      <c r="I297">
        <v>1528.59</v>
      </c>
      <c r="J297" t="s">
        <v>17</v>
      </c>
      <c r="K297">
        <v>0.11</v>
      </c>
      <c r="L297" t="s">
        <v>31</v>
      </c>
      <c r="M297" t="s">
        <v>22</v>
      </c>
      <c r="N297" t="s">
        <v>49</v>
      </c>
      <c r="O297">
        <f>Table2[[#This Row],[Unit_Cost]]*Table2[[#This Row],[Quantity_Sold]]</f>
        <v>21962.47</v>
      </c>
      <c r="P297">
        <f t="shared" si="4"/>
        <v>-18926.530000000002</v>
      </c>
      <c r="Q297" s="3">
        <f>Table2[[#This Row],[Gross_Profit]]/Table2[[#This Row],[Sales_Amount]]</f>
        <v>-6.2341581190669126</v>
      </c>
      <c r="R297" t="str">
        <f>TEXT(Table2[[#This Row],[Sale_Date]],"mmmm")</f>
        <v>October</v>
      </c>
      <c r="S297" s="4">
        <f>YEAR(Table2[[#This Row],[Sale_Date]])</f>
        <v>2023</v>
      </c>
    </row>
    <row r="298" spans="1:19" x14ac:dyDescent="0.35">
      <c r="A298">
        <v>1009</v>
      </c>
      <c r="B298" s="1">
        <v>45231</v>
      </c>
      <c r="C298" t="s">
        <v>14</v>
      </c>
      <c r="D298" t="s">
        <v>25</v>
      </c>
      <c r="E298">
        <v>7172.8</v>
      </c>
      <c r="F298">
        <v>14</v>
      </c>
      <c r="G298" t="s">
        <v>26</v>
      </c>
      <c r="H298">
        <v>547.79</v>
      </c>
      <c r="I298">
        <v>958.76</v>
      </c>
      <c r="J298" t="s">
        <v>17</v>
      </c>
      <c r="K298">
        <v>7.0000000000000007E-2</v>
      </c>
      <c r="L298" t="s">
        <v>31</v>
      </c>
      <c r="M298" t="s">
        <v>22</v>
      </c>
      <c r="N298" t="s">
        <v>32</v>
      </c>
      <c r="O298">
        <f>Table2[[#This Row],[Unit_Cost]]*Table2[[#This Row],[Quantity_Sold]]</f>
        <v>7669.0599999999995</v>
      </c>
      <c r="P298">
        <f t="shared" si="4"/>
        <v>-496.25999999999931</v>
      </c>
      <c r="Q298" s="3">
        <f>Table2[[#This Row],[Gross_Profit]]/Table2[[#This Row],[Sales_Amount]]</f>
        <v>-6.9186370733883465E-2</v>
      </c>
      <c r="R298" t="str">
        <f>TEXT(Table2[[#This Row],[Sale_Date]],"mmmm")</f>
        <v>November</v>
      </c>
      <c r="S298" s="4">
        <f>YEAR(Table2[[#This Row],[Sale_Date]])</f>
        <v>2023</v>
      </c>
    </row>
    <row r="299" spans="1:19" x14ac:dyDescent="0.35">
      <c r="A299">
        <v>1099</v>
      </c>
      <c r="B299" s="1">
        <v>45212</v>
      </c>
      <c r="C299" t="s">
        <v>33</v>
      </c>
      <c r="D299" t="s">
        <v>15</v>
      </c>
      <c r="E299">
        <v>7614.15</v>
      </c>
      <c r="F299">
        <v>14</v>
      </c>
      <c r="G299" t="s">
        <v>26</v>
      </c>
      <c r="H299">
        <v>1996.64</v>
      </c>
      <c r="I299">
        <v>2341.4699999999998</v>
      </c>
      <c r="J299" t="s">
        <v>17</v>
      </c>
      <c r="K299">
        <v>0.22</v>
      </c>
      <c r="L299" t="s">
        <v>31</v>
      </c>
      <c r="M299" t="s">
        <v>19</v>
      </c>
      <c r="N299" t="s">
        <v>53</v>
      </c>
      <c r="O299">
        <f>Table2[[#This Row],[Unit_Cost]]*Table2[[#This Row],[Quantity_Sold]]</f>
        <v>27952.960000000003</v>
      </c>
      <c r="P299">
        <f t="shared" si="4"/>
        <v>-20338.810000000005</v>
      </c>
      <c r="Q299" s="3">
        <f>Table2[[#This Row],[Gross_Profit]]/Table2[[#This Row],[Sales_Amount]]</f>
        <v>-2.6711858841761726</v>
      </c>
      <c r="R299" t="str">
        <f>TEXT(Table2[[#This Row],[Sale_Date]],"mmmm")</f>
        <v>October</v>
      </c>
      <c r="S299" s="4">
        <f>YEAR(Table2[[#This Row],[Sale_Date]])</f>
        <v>2023</v>
      </c>
    </row>
    <row r="300" spans="1:19" x14ac:dyDescent="0.35">
      <c r="A300">
        <v>1019</v>
      </c>
      <c r="B300" s="1">
        <v>45070</v>
      </c>
      <c r="C300" t="s">
        <v>38</v>
      </c>
      <c r="D300" t="s">
        <v>25</v>
      </c>
      <c r="E300">
        <v>1114.9100000000001</v>
      </c>
      <c r="F300">
        <v>13</v>
      </c>
      <c r="G300" t="s">
        <v>26</v>
      </c>
      <c r="H300">
        <v>3102.73</v>
      </c>
      <c r="I300">
        <v>3202.68</v>
      </c>
      <c r="J300" t="s">
        <v>30</v>
      </c>
      <c r="K300">
        <v>0.09</v>
      </c>
      <c r="L300" t="s">
        <v>18</v>
      </c>
      <c r="M300" t="s">
        <v>19</v>
      </c>
      <c r="N300" t="s">
        <v>39</v>
      </c>
      <c r="O300">
        <f>Table2[[#This Row],[Unit_Cost]]*Table2[[#This Row],[Quantity_Sold]]</f>
        <v>40335.49</v>
      </c>
      <c r="P300">
        <f t="shared" si="4"/>
        <v>-39220.579999999994</v>
      </c>
      <c r="Q300" s="3">
        <f>Table2[[#This Row],[Gross_Profit]]/Table2[[#This Row],[Sales_Amount]]</f>
        <v>-35.178247571552852</v>
      </c>
      <c r="R300" t="str">
        <f>TEXT(Table2[[#This Row],[Sale_Date]],"mmmm")</f>
        <v>May</v>
      </c>
      <c r="S300" s="4">
        <f>YEAR(Table2[[#This Row],[Sale_Date]])</f>
        <v>2023</v>
      </c>
    </row>
    <row r="301" spans="1:19" x14ac:dyDescent="0.35">
      <c r="A301">
        <v>1048</v>
      </c>
      <c r="B301" s="1">
        <v>44945</v>
      </c>
      <c r="C301" t="s">
        <v>14</v>
      </c>
      <c r="D301" t="s">
        <v>21</v>
      </c>
      <c r="E301">
        <v>5187.16</v>
      </c>
      <c r="F301">
        <v>7</v>
      </c>
      <c r="G301" t="s">
        <v>29</v>
      </c>
      <c r="H301">
        <v>4310.95</v>
      </c>
      <c r="I301">
        <v>4723.2</v>
      </c>
      <c r="J301" t="s">
        <v>17</v>
      </c>
      <c r="K301">
        <v>0.05</v>
      </c>
      <c r="L301" t="s">
        <v>31</v>
      </c>
      <c r="M301" t="s">
        <v>22</v>
      </c>
      <c r="N301" t="s">
        <v>23</v>
      </c>
      <c r="O301">
        <f>Table2[[#This Row],[Unit_Cost]]*Table2[[#This Row],[Quantity_Sold]]</f>
        <v>30176.649999999998</v>
      </c>
      <c r="P301">
        <f t="shared" si="4"/>
        <v>-24989.489999999998</v>
      </c>
      <c r="Q301" s="3">
        <f>Table2[[#This Row],[Gross_Profit]]/Table2[[#This Row],[Sales_Amount]]</f>
        <v>-4.8175668381156544</v>
      </c>
      <c r="R301" t="str">
        <f>TEXT(Table2[[#This Row],[Sale_Date]],"mmmm")</f>
        <v>January</v>
      </c>
      <c r="S301" s="4">
        <f>YEAR(Table2[[#This Row],[Sale_Date]])</f>
        <v>2023</v>
      </c>
    </row>
    <row r="302" spans="1:19" x14ac:dyDescent="0.35">
      <c r="A302">
        <v>1080</v>
      </c>
      <c r="B302" s="1">
        <v>44944</v>
      </c>
      <c r="C302" t="s">
        <v>33</v>
      </c>
      <c r="D302" t="s">
        <v>34</v>
      </c>
      <c r="E302">
        <v>5138.0200000000004</v>
      </c>
      <c r="F302">
        <v>44</v>
      </c>
      <c r="G302" t="s">
        <v>35</v>
      </c>
      <c r="H302">
        <v>1763.67</v>
      </c>
      <c r="I302">
        <v>1983.82</v>
      </c>
      <c r="J302" t="s">
        <v>30</v>
      </c>
      <c r="K302">
        <v>0.24</v>
      </c>
      <c r="L302" t="s">
        <v>31</v>
      </c>
      <c r="M302" t="s">
        <v>19</v>
      </c>
      <c r="N302" t="s">
        <v>36</v>
      </c>
      <c r="O302">
        <f>Table2[[#This Row],[Unit_Cost]]*Table2[[#This Row],[Quantity_Sold]]</f>
        <v>77601.48000000001</v>
      </c>
      <c r="P302">
        <f t="shared" si="4"/>
        <v>-72463.460000000006</v>
      </c>
      <c r="Q302" s="3">
        <f>Table2[[#This Row],[Gross_Profit]]/Table2[[#This Row],[Sales_Amount]]</f>
        <v>-14.10338223673711</v>
      </c>
      <c r="R302" t="str">
        <f>TEXT(Table2[[#This Row],[Sale_Date]],"mmmm")</f>
        <v>January</v>
      </c>
      <c r="S302" s="4">
        <f>YEAR(Table2[[#This Row],[Sale_Date]])</f>
        <v>2023</v>
      </c>
    </row>
    <row r="303" spans="1:19" x14ac:dyDescent="0.35">
      <c r="A303">
        <v>1003</v>
      </c>
      <c r="B303" s="1">
        <v>45183</v>
      </c>
      <c r="C303" t="s">
        <v>14</v>
      </c>
      <c r="D303" t="s">
        <v>21</v>
      </c>
      <c r="E303">
        <v>3755.88</v>
      </c>
      <c r="F303">
        <v>15</v>
      </c>
      <c r="G303" t="s">
        <v>29</v>
      </c>
      <c r="H303">
        <v>3286.24</v>
      </c>
      <c r="I303">
        <v>3388.8399999999901</v>
      </c>
      <c r="J303" t="s">
        <v>17</v>
      </c>
      <c r="K303">
        <v>0.09</v>
      </c>
      <c r="L303" t="s">
        <v>31</v>
      </c>
      <c r="M303" t="s">
        <v>22</v>
      </c>
      <c r="N303" t="s">
        <v>23</v>
      </c>
      <c r="O303">
        <f>Table2[[#This Row],[Unit_Cost]]*Table2[[#This Row],[Quantity_Sold]]</f>
        <v>49293.599999999999</v>
      </c>
      <c r="P303">
        <f t="shared" si="4"/>
        <v>-45537.72</v>
      </c>
      <c r="Q303" s="3">
        <f>Table2[[#This Row],[Gross_Profit]]/Table2[[#This Row],[Sales_Amount]]</f>
        <v>-12.12438097063804</v>
      </c>
      <c r="R303" t="str">
        <f>TEXT(Table2[[#This Row],[Sale_Date]],"mmmm")</f>
        <v>September</v>
      </c>
      <c r="S303" s="4">
        <f>YEAR(Table2[[#This Row],[Sale_Date]])</f>
        <v>2023</v>
      </c>
    </row>
    <row r="304" spans="1:19" x14ac:dyDescent="0.35">
      <c r="A304">
        <v>1020</v>
      </c>
      <c r="B304" s="1">
        <v>45004</v>
      </c>
      <c r="C304" t="s">
        <v>38</v>
      </c>
      <c r="D304" t="s">
        <v>21</v>
      </c>
      <c r="E304">
        <v>9335.9599999999991</v>
      </c>
      <c r="F304">
        <v>19</v>
      </c>
      <c r="G304" t="s">
        <v>26</v>
      </c>
      <c r="H304">
        <v>1783.48</v>
      </c>
      <c r="I304">
        <v>1931.56</v>
      </c>
      <c r="J304" t="s">
        <v>17</v>
      </c>
      <c r="K304">
        <v>0.27</v>
      </c>
      <c r="L304" t="s">
        <v>27</v>
      </c>
      <c r="M304" t="s">
        <v>22</v>
      </c>
      <c r="N304" t="s">
        <v>41</v>
      </c>
      <c r="O304">
        <f>Table2[[#This Row],[Unit_Cost]]*Table2[[#This Row],[Quantity_Sold]]</f>
        <v>33886.120000000003</v>
      </c>
      <c r="P304">
        <f t="shared" si="4"/>
        <v>-24550.160000000003</v>
      </c>
      <c r="Q304" s="3">
        <f>Table2[[#This Row],[Gross_Profit]]/Table2[[#This Row],[Sales_Amount]]</f>
        <v>-2.629634231509133</v>
      </c>
      <c r="R304" t="str">
        <f>TEXT(Table2[[#This Row],[Sale_Date]],"mmmm")</f>
        <v>March</v>
      </c>
      <c r="S304" s="4">
        <f>YEAR(Table2[[#This Row],[Sale_Date]])</f>
        <v>2023</v>
      </c>
    </row>
    <row r="305" spans="1:19" x14ac:dyDescent="0.35">
      <c r="A305">
        <v>1024</v>
      </c>
      <c r="B305" s="1">
        <v>45101</v>
      </c>
      <c r="C305" t="s">
        <v>42</v>
      </c>
      <c r="D305" t="s">
        <v>15</v>
      </c>
      <c r="E305">
        <v>8292.31</v>
      </c>
      <c r="F305">
        <v>43</v>
      </c>
      <c r="G305" t="s">
        <v>29</v>
      </c>
      <c r="H305">
        <v>3105.24</v>
      </c>
      <c r="I305">
        <v>3246.33</v>
      </c>
      <c r="J305" t="s">
        <v>30</v>
      </c>
      <c r="K305">
        <v>0.25</v>
      </c>
      <c r="L305" t="s">
        <v>18</v>
      </c>
      <c r="M305" t="s">
        <v>19</v>
      </c>
      <c r="N305" t="s">
        <v>49</v>
      </c>
      <c r="O305">
        <f>Table2[[#This Row],[Unit_Cost]]*Table2[[#This Row],[Quantity_Sold]]</f>
        <v>133525.31999999998</v>
      </c>
      <c r="P305">
        <f t="shared" si="4"/>
        <v>-125233.00999999998</v>
      </c>
      <c r="Q305" s="3">
        <f>Table2[[#This Row],[Gross_Profit]]/Table2[[#This Row],[Sales_Amount]]</f>
        <v>-15.102306836092716</v>
      </c>
      <c r="R305" t="str">
        <f>TEXT(Table2[[#This Row],[Sale_Date]],"mmmm")</f>
        <v>June</v>
      </c>
      <c r="S305" s="4">
        <f>YEAR(Table2[[#This Row],[Sale_Date]])</f>
        <v>2023</v>
      </c>
    </row>
    <row r="306" spans="1:19" x14ac:dyDescent="0.35">
      <c r="A306">
        <v>1054</v>
      </c>
      <c r="B306" s="1">
        <v>45120</v>
      </c>
      <c r="C306" t="s">
        <v>42</v>
      </c>
      <c r="D306" t="s">
        <v>25</v>
      </c>
      <c r="E306">
        <v>7002.37</v>
      </c>
      <c r="F306">
        <v>47</v>
      </c>
      <c r="G306" t="s">
        <v>26</v>
      </c>
      <c r="H306">
        <v>4429.8</v>
      </c>
      <c r="I306">
        <v>4694.21</v>
      </c>
      <c r="J306" t="s">
        <v>30</v>
      </c>
      <c r="K306">
        <v>0.25</v>
      </c>
      <c r="L306" t="s">
        <v>27</v>
      </c>
      <c r="M306" t="s">
        <v>19</v>
      </c>
      <c r="N306" t="s">
        <v>43</v>
      </c>
      <c r="O306">
        <f>Table2[[#This Row],[Unit_Cost]]*Table2[[#This Row],[Quantity_Sold]]</f>
        <v>208200.6</v>
      </c>
      <c r="P306">
        <f t="shared" si="4"/>
        <v>-201198.23</v>
      </c>
      <c r="Q306" s="3">
        <f>Table2[[#This Row],[Gross_Profit]]/Table2[[#This Row],[Sales_Amount]]</f>
        <v>-28.732876154787597</v>
      </c>
      <c r="R306" t="str">
        <f>TEXT(Table2[[#This Row],[Sale_Date]],"mmmm")</f>
        <v>July</v>
      </c>
      <c r="S306" s="4">
        <f>YEAR(Table2[[#This Row],[Sale_Date]])</f>
        <v>2023</v>
      </c>
    </row>
    <row r="307" spans="1:19" x14ac:dyDescent="0.35">
      <c r="A307">
        <v>1033</v>
      </c>
      <c r="B307" s="1">
        <v>45039</v>
      </c>
      <c r="C307" t="s">
        <v>33</v>
      </c>
      <c r="D307" t="s">
        <v>34</v>
      </c>
      <c r="E307">
        <v>7171.83</v>
      </c>
      <c r="F307">
        <v>44</v>
      </c>
      <c r="G307" t="s">
        <v>35</v>
      </c>
      <c r="H307">
        <v>1195.22</v>
      </c>
      <c r="I307">
        <v>1320.06</v>
      </c>
      <c r="J307" t="s">
        <v>17</v>
      </c>
      <c r="K307">
        <v>0.23</v>
      </c>
      <c r="L307" t="s">
        <v>27</v>
      </c>
      <c r="M307" t="s">
        <v>22</v>
      </c>
      <c r="N307" t="s">
        <v>36</v>
      </c>
      <c r="O307">
        <f>Table2[[#This Row],[Unit_Cost]]*Table2[[#This Row],[Quantity_Sold]]</f>
        <v>52589.68</v>
      </c>
      <c r="P307">
        <f t="shared" si="4"/>
        <v>-45417.85</v>
      </c>
      <c r="Q307" s="3">
        <f>Table2[[#This Row],[Gross_Profit]]/Table2[[#This Row],[Sales_Amount]]</f>
        <v>-6.3328118485797908</v>
      </c>
      <c r="R307" t="str">
        <f>TEXT(Table2[[#This Row],[Sale_Date]],"mmmm")</f>
        <v>April</v>
      </c>
      <c r="S307" s="4">
        <f>YEAR(Table2[[#This Row],[Sale_Date]])</f>
        <v>2023</v>
      </c>
    </row>
    <row r="308" spans="1:19" x14ac:dyDescent="0.35">
      <c r="A308">
        <v>1024</v>
      </c>
      <c r="B308" s="1">
        <v>45040</v>
      </c>
      <c r="C308" t="s">
        <v>24</v>
      </c>
      <c r="D308" t="s">
        <v>15</v>
      </c>
      <c r="E308">
        <v>4670.99</v>
      </c>
      <c r="F308">
        <v>35</v>
      </c>
      <c r="G308" t="s">
        <v>16</v>
      </c>
      <c r="H308">
        <v>2051</v>
      </c>
      <c r="I308">
        <v>2121.5500000000002</v>
      </c>
      <c r="J308" t="s">
        <v>17</v>
      </c>
      <c r="K308">
        <v>0.26</v>
      </c>
      <c r="L308" t="s">
        <v>18</v>
      </c>
      <c r="M308" t="s">
        <v>22</v>
      </c>
      <c r="N308" t="s">
        <v>45</v>
      </c>
      <c r="O308">
        <f>Table2[[#This Row],[Unit_Cost]]*Table2[[#This Row],[Quantity_Sold]]</f>
        <v>71785</v>
      </c>
      <c r="P308">
        <f t="shared" si="4"/>
        <v>-67114.009999999995</v>
      </c>
      <c r="Q308" s="3">
        <f>Table2[[#This Row],[Gross_Profit]]/Table2[[#This Row],[Sales_Amount]]</f>
        <v>-14.368262402617004</v>
      </c>
      <c r="R308" t="str">
        <f>TEXT(Table2[[#This Row],[Sale_Date]],"mmmm")</f>
        <v>April</v>
      </c>
      <c r="S308" s="4">
        <f>YEAR(Table2[[#This Row],[Sale_Date]])</f>
        <v>2023</v>
      </c>
    </row>
    <row r="309" spans="1:19" x14ac:dyDescent="0.35">
      <c r="A309">
        <v>1075</v>
      </c>
      <c r="B309" s="1">
        <v>45148</v>
      </c>
      <c r="C309" t="s">
        <v>33</v>
      </c>
      <c r="D309" t="s">
        <v>15</v>
      </c>
      <c r="E309">
        <v>9217.85</v>
      </c>
      <c r="F309">
        <v>17</v>
      </c>
      <c r="G309" t="s">
        <v>35</v>
      </c>
      <c r="H309">
        <v>4966.66</v>
      </c>
      <c r="I309">
        <v>5037.2699999999904</v>
      </c>
      <c r="J309" t="s">
        <v>17</v>
      </c>
      <c r="K309">
        <v>0.24</v>
      </c>
      <c r="L309" t="s">
        <v>27</v>
      </c>
      <c r="M309" t="s">
        <v>22</v>
      </c>
      <c r="N309" t="s">
        <v>53</v>
      </c>
      <c r="O309">
        <f>Table2[[#This Row],[Unit_Cost]]*Table2[[#This Row],[Quantity_Sold]]</f>
        <v>84433.22</v>
      </c>
      <c r="P309">
        <f t="shared" si="4"/>
        <v>-75215.37</v>
      </c>
      <c r="Q309" s="3">
        <f>Table2[[#This Row],[Gross_Profit]]/Table2[[#This Row],[Sales_Amount]]</f>
        <v>-8.1597520029074015</v>
      </c>
      <c r="R309" t="str">
        <f>TEXT(Table2[[#This Row],[Sale_Date]],"mmmm")</f>
        <v>August</v>
      </c>
      <c r="S309" s="4">
        <f>YEAR(Table2[[#This Row],[Sale_Date]])</f>
        <v>2023</v>
      </c>
    </row>
    <row r="310" spans="1:19" x14ac:dyDescent="0.35">
      <c r="A310">
        <v>1072</v>
      </c>
      <c r="B310" s="1">
        <v>45092</v>
      </c>
      <c r="C310" t="s">
        <v>24</v>
      </c>
      <c r="D310" t="s">
        <v>15</v>
      </c>
      <c r="E310">
        <v>6976.49</v>
      </c>
      <c r="F310">
        <v>35</v>
      </c>
      <c r="G310" t="s">
        <v>35</v>
      </c>
      <c r="H310">
        <v>4349.3599999999997</v>
      </c>
      <c r="I310">
        <v>4645.17</v>
      </c>
      <c r="J310" t="s">
        <v>17</v>
      </c>
      <c r="K310">
        <v>0.18</v>
      </c>
      <c r="L310" t="s">
        <v>31</v>
      </c>
      <c r="M310" t="s">
        <v>22</v>
      </c>
      <c r="N310" t="s">
        <v>45</v>
      </c>
      <c r="O310">
        <f>Table2[[#This Row],[Unit_Cost]]*Table2[[#This Row],[Quantity_Sold]]</f>
        <v>152227.59999999998</v>
      </c>
      <c r="P310">
        <f t="shared" si="4"/>
        <v>-145251.10999999999</v>
      </c>
      <c r="Q310" s="3">
        <f>Table2[[#This Row],[Gross_Profit]]/Table2[[#This Row],[Sales_Amount]]</f>
        <v>-20.820084311738423</v>
      </c>
      <c r="R310" t="str">
        <f>TEXT(Table2[[#This Row],[Sale_Date]],"mmmm")</f>
        <v>June</v>
      </c>
      <c r="S310" s="4">
        <f>YEAR(Table2[[#This Row],[Sale_Date]])</f>
        <v>2023</v>
      </c>
    </row>
    <row r="311" spans="1:19" x14ac:dyDescent="0.35">
      <c r="A311">
        <v>1036</v>
      </c>
      <c r="B311" s="1">
        <v>45245</v>
      </c>
      <c r="C311" t="s">
        <v>14</v>
      </c>
      <c r="D311" t="s">
        <v>21</v>
      </c>
      <c r="E311">
        <v>7316.91</v>
      </c>
      <c r="F311">
        <v>19</v>
      </c>
      <c r="G311" t="s">
        <v>16</v>
      </c>
      <c r="H311">
        <v>2844.97</v>
      </c>
      <c r="I311">
        <v>3215</v>
      </c>
      <c r="J311" t="s">
        <v>17</v>
      </c>
      <c r="K311">
        <v>0.09</v>
      </c>
      <c r="L311" t="s">
        <v>31</v>
      </c>
      <c r="M311" t="s">
        <v>22</v>
      </c>
      <c r="N311" t="s">
        <v>23</v>
      </c>
      <c r="O311">
        <f>Table2[[#This Row],[Unit_Cost]]*Table2[[#This Row],[Quantity_Sold]]</f>
        <v>54054.429999999993</v>
      </c>
      <c r="P311">
        <f t="shared" si="4"/>
        <v>-46737.51999999999</v>
      </c>
      <c r="Q311" s="3">
        <f>Table2[[#This Row],[Gross_Profit]]/Table2[[#This Row],[Sales_Amount]]</f>
        <v>-6.3876035102249435</v>
      </c>
      <c r="R311" t="str">
        <f>TEXT(Table2[[#This Row],[Sale_Date]],"mmmm")</f>
        <v>November</v>
      </c>
      <c r="S311" s="4">
        <f>YEAR(Table2[[#This Row],[Sale_Date]])</f>
        <v>2023</v>
      </c>
    </row>
    <row r="312" spans="1:19" x14ac:dyDescent="0.35">
      <c r="A312">
        <v>1038</v>
      </c>
      <c r="B312" s="1">
        <v>45058</v>
      </c>
      <c r="C312" t="s">
        <v>14</v>
      </c>
      <c r="D312" t="s">
        <v>25</v>
      </c>
      <c r="E312">
        <v>8630.74</v>
      </c>
      <c r="F312">
        <v>20</v>
      </c>
      <c r="G312" t="s">
        <v>29</v>
      </c>
      <c r="H312">
        <v>2607.31</v>
      </c>
      <c r="I312">
        <v>2774.86</v>
      </c>
      <c r="J312" t="s">
        <v>30</v>
      </c>
      <c r="K312">
        <v>0.27</v>
      </c>
      <c r="L312" t="s">
        <v>31</v>
      </c>
      <c r="M312" t="s">
        <v>22</v>
      </c>
      <c r="N312" t="s">
        <v>32</v>
      </c>
      <c r="O312">
        <f>Table2[[#This Row],[Unit_Cost]]*Table2[[#This Row],[Quantity_Sold]]</f>
        <v>52146.2</v>
      </c>
      <c r="P312">
        <f t="shared" si="4"/>
        <v>-43515.46</v>
      </c>
      <c r="Q312" s="3">
        <f>Table2[[#This Row],[Gross_Profit]]/Table2[[#This Row],[Sales_Amount]]</f>
        <v>-5.0419152934742559</v>
      </c>
      <c r="R312" t="str">
        <f>TEXT(Table2[[#This Row],[Sale_Date]],"mmmm")</f>
        <v>May</v>
      </c>
      <c r="S312" s="4">
        <f>YEAR(Table2[[#This Row],[Sale_Date]])</f>
        <v>2023</v>
      </c>
    </row>
    <row r="313" spans="1:19" x14ac:dyDescent="0.35">
      <c r="A313">
        <v>1084</v>
      </c>
      <c r="B313" s="1">
        <v>45190</v>
      </c>
      <c r="C313" t="s">
        <v>38</v>
      </c>
      <c r="D313" t="s">
        <v>25</v>
      </c>
      <c r="E313">
        <v>2813.31</v>
      </c>
      <c r="F313">
        <v>36</v>
      </c>
      <c r="G313" t="s">
        <v>16</v>
      </c>
      <c r="H313">
        <v>1458.77</v>
      </c>
      <c r="I313">
        <v>1485.75</v>
      </c>
      <c r="J313" t="s">
        <v>30</v>
      </c>
      <c r="K313">
        <v>0.25</v>
      </c>
      <c r="L313" t="s">
        <v>31</v>
      </c>
      <c r="M313" t="s">
        <v>19</v>
      </c>
      <c r="N313" t="s">
        <v>39</v>
      </c>
      <c r="O313">
        <f>Table2[[#This Row],[Unit_Cost]]*Table2[[#This Row],[Quantity_Sold]]</f>
        <v>52515.72</v>
      </c>
      <c r="P313">
        <f t="shared" si="4"/>
        <v>-49702.41</v>
      </c>
      <c r="Q313" s="3">
        <f>Table2[[#This Row],[Gross_Profit]]/Table2[[#This Row],[Sales_Amount]]</f>
        <v>-17.66687993857769</v>
      </c>
      <c r="R313" t="str">
        <f>TEXT(Table2[[#This Row],[Sale_Date]],"mmmm")</f>
        <v>September</v>
      </c>
      <c r="S313" s="4">
        <f>YEAR(Table2[[#This Row],[Sale_Date]])</f>
        <v>2023</v>
      </c>
    </row>
    <row r="314" spans="1:19" x14ac:dyDescent="0.35">
      <c r="A314">
        <v>1099</v>
      </c>
      <c r="B314" s="1">
        <v>44981</v>
      </c>
      <c r="C314" t="s">
        <v>24</v>
      </c>
      <c r="D314" t="s">
        <v>34</v>
      </c>
      <c r="E314">
        <v>8090</v>
      </c>
      <c r="F314">
        <v>35</v>
      </c>
      <c r="G314" t="s">
        <v>29</v>
      </c>
      <c r="H314">
        <v>2610.19</v>
      </c>
      <c r="I314">
        <v>2682.53</v>
      </c>
      <c r="J314" t="s">
        <v>30</v>
      </c>
      <c r="K314">
        <v>0.14000000000000001</v>
      </c>
      <c r="L314" t="s">
        <v>18</v>
      </c>
      <c r="M314" t="s">
        <v>22</v>
      </c>
      <c r="N314" t="s">
        <v>50</v>
      </c>
      <c r="O314">
        <f>Table2[[#This Row],[Unit_Cost]]*Table2[[#This Row],[Quantity_Sold]]</f>
        <v>91356.650000000009</v>
      </c>
      <c r="P314">
        <f t="shared" si="4"/>
        <v>-83266.650000000009</v>
      </c>
      <c r="Q314" s="3">
        <f>Table2[[#This Row],[Gross_Profit]]/Table2[[#This Row],[Sales_Amount]]</f>
        <v>-10.292540173053153</v>
      </c>
      <c r="R314" t="str">
        <f>TEXT(Table2[[#This Row],[Sale_Date]],"mmmm")</f>
        <v>February</v>
      </c>
      <c r="S314" s="4">
        <f>YEAR(Table2[[#This Row],[Sale_Date]])</f>
        <v>2023</v>
      </c>
    </row>
    <row r="315" spans="1:19" x14ac:dyDescent="0.35">
      <c r="A315">
        <v>1089</v>
      </c>
      <c r="B315" s="1">
        <v>45285</v>
      </c>
      <c r="C315" t="s">
        <v>38</v>
      </c>
      <c r="D315" t="s">
        <v>25</v>
      </c>
      <c r="E315">
        <v>2032.88</v>
      </c>
      <c r="F315">
        <v>32</v>
      </c>
      <c r="G315" t="s">
        <v>29</v>
      </c>
      <c r="H315">
        <v>4248.5</v>
      </c>
      <c r="I315">
        <v>4706.7</v>
      </c>
      <c r="J315" t="s">
        <v>30</v>
      </c>
      <c r="K315">
        <v>0.01</v>
      </c>
      <c r="L315" t="s">
        <v>27</v>
      </c>
      <c r="M315" t="s">
        <v>22</v>
      </c>
      <c r="N315" t="s">
        <v>39</v>
      </c>
      <c r="O315">
        <f>Table2[[#This Row],[Unit_Cost]]*Table2[[#This Row],[Quantity_Sold]]</f>
        <v>135952</v>
      </c>
      <c r="P315">
        <f t="shared" si="4"/>
        <v>-133919.12</v>
      </c>
      <c r="Q315" s="3">
        <f>Table2[[#This Row],[Gross_Profit]]/Table2[[#This Row],[Sales_Amount]]</f>
        <v>-65.876549525795909</v>
      </c>
      <c r="R315" t="str">
        <f>TEXT(Table2[[#This Row],[Sale_Date]],"mmmm")</f>
        <v>December</v>
      </c>
      <c r="S315" s="4">
        <f>YEAR(Table2[[#This Row],[Sale_Date]])</f>
        <v>2023</v>
      </c>
    </row>
    <row r="316" spans="1:19" x14ac:dyDescent="0.35">
      <c r="A316">
        <v>1099</v>
      </c>
      <c r="B316" s="1">
        <v>45057</v>
      </c>
      <c r="C316" t="s">
        <v>42</v>
      </c>
      <c r="D316" t="s">
        <v>25</v>
      </c>
      <c r="E316">
        <v>3518.89</v>
      </c>
      <c r="F316">
        <v>48</v>
      </c>
      <c r="G316" t="s">
        <v>26</v>
      </c>
      <c r="H316">
        <v>3441.61</v>
      </c>
      <c r="I316">
        <v>3693.45</v>
      </c>
      <c r="J316" t="s">
        <v>17</v>
      </c>
      <c r="K316">
        <v>0.19</v>
      </c>
      <c r="L316" t="s">
        <v>27</v>
      </c>
      <c r="M316" t="s">
        <v>19</v>
      </c>
      <c r="N316" t="s">
        <v>43</v>
      </c>
      <c r="O316">
        <f>Table2[[#This Row],[Unit_Cost]]*Table2[[#This Row],[Quantity_Sold]]</f>
        <v>165197.28</v>
      </c>
      <c r="P316">
        <f t="shared" si="4"/>
        <v>-161678.38999999998</v>
      </c>
      <c r="Q316" s="3">
        <f>Table2[[#This Row],[Gross_Profit]]/Table2[[#This Row],[Sales_Amount]]</f>
        <v>-45.945849401373728</v>
      </c>
      <c r="R316" t="str">
        <f>TEXT(Table2[[#This Row],[Sale_Date]],"mmmm")</f>
        <v>May</v>
      </c>
      <c r="S316" s="4">
        <f>YEAR(Table2[[#This Row],[Sale_Date]])</f>
        <v>2023</v>
      </c>
    </row>
    <row r="317" spans="1:19" x14ac:dyDescent="0.35">
      <c r="A317">
        <v>1025</v>
      </c>
      <c r="B317" s="1">
        <v>45214</v>
      </c>
      <c r="C317" t="s">
        <v>24</v>
      </c>
      <c r="D317" t="s">
        <v>15</v>
      </c>
      <c r="E317">
        <v>3422.54</v>
      </c>
      <c r="F317">
        <v>44</v>
      </c>
      <c r="G317" t="s">
        <v>26</v>
      </c>
      <c r="H317">
        <v>1485.72</v>
      </c>
      <c r="I317">
        <v>1717.97</v>
      </c>
      <c r="J317" t="s">
        <v>30</v>
      </c>
      <c r="K317">
        <v>0.02</v>
      </c>
      <c r="L317" t="s">
        <v>31</v>
      </c>
      <c r="M317" t="s">
        <v>22</v>
      </c>
      <c r="N317" t="s">
        <v>45</v>
      </c>
      <c r="O317">
        <f>Table2[[#This Row],[Unit_Cost]]*Table2[[#This Row],[Quantity_Sold]]</f>
        <v>65371.68</v>
      </c>
      <c r="P317">
        <f t="shared" si="4"/>
        <v>-61949.14</v>
      </c>
      <c r="Q317" s="3">
        <f>Table2[[#This Row],[Gross_Profit]]/Table2[[#This Row],[Sales_Amount]]</f>
        <v>-18.100340682650895</v>
      </c>
      <c r="R317" t="str">
        <f>TEXT(Table2[[#This Row],[Sale_Date]],"mmmm")</f>
        <v>October</v>
      </c>
      <c r="S317" s="4">
        <f>YEAR(Table2[[#This Row],[Sale_Date]])</f>
        <v>2023</v>
      </c>
    </row>
    <row r="318" spans="1:19" x14ac:dyDescent="0.35">
      <c r="A318">
        <v>1093</v>
      </c>
      <c r="B318" s="1">
        <v>45192</v>
      </c>
      <c r="C318" t="s">
        <v>33</v>
      </c>
      <c r="D318" t="s">
        <v>15</v>
      </c>
      <c r="E318">
        <v>9787.4</v>
      </c>
      <c r="F318">
        <v>40</v>
      </c>
      <c r="G318" t="s">
        <v>16</v>
      </c>
      <c r="H318">
        <v>1047.25</v>
      </c>
      <c r="I318">
        <v>1075.8900000000001</v>
      </c>
      <c r="J318" t="s">
        <v>30</v>
      </c>
      <c r="K318">
        <v>0.28000000000000003</v>
      </c>
      <c r="L318" t="s">
        <v>31</v>
      </c>
      <c r="M318" t="s">
        <v>22</v>
      </c>
      <c r="N318" t="s">
        <v>53</v>
      </c>
      <c r="O318">
        <f>Table2[[#This Row],[Unit_Cost]]*Table2[[#This Row],[Quantity_Sold]]</f>
        <v>41890</v>
      </c>
      <c r="P318">
        <f t="shared" si="4"/>
        <v>-32102.6</v>
      </c>
      <c r="Q318" s="3">
        <f>Table2[[#This Row],[Gross_Profit]]/Table2[[#This Row],[Sales_Amount]]</f>
        <v>-3.2799926436029998</v>
      </c>
      <c r="R318" t="str">
        <f>TEXT(Table2[[#This Row],[Sale_Date]],"mmmm")</f>
        <v>September</v>
      </c>
      <c r="S318" s="4">
        <f>YEAR(Table2[[#This Row],[Sale_Date]])</f>
        <v>2023</v>
      </c>
    </row>
    <row r="319" spans="1:19" x14ac:dyDescent="0.3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c r="O319">
        <f>Table2[[#This Row],[Unit_Cost]]*Table2[[#This Row],[Quantity_Sold]]</f>
        <v>32706.720000000001</v>
      </c>
      <c r="P319">
        <f t="shared" si="4"/>
        <v>-24127</v>
      </c>
      <c r="Q319" s="3">
        <f>Table2[[#This Row],[Gross_Profit]]/Table2[[#This Row],[Sales_Amount]]</f>
        <v>-2.8120964320513959</v>
      </c>
      <c r="R319" t="str">
        <f>TEXT(Table2[[#This Row],[Sale_Date]],"mmmm")</f>
        <v>January</v>
      </c>
      <c r="S319" s="4">
        <f>YEAR(Table2[[#This Row],[Sale_Date]])</f>
        <v>2024</v>
      </c>
    </row>
    <row r="320" spans="1:19" x14ac:dyDescent="0.35">
      <c r="A320">
        <v>1082</v>
      </c>
      <c r="B320" s="1">
        <v>45088</v>
      </c>
      <c r="C320" t="s">
        <v>42</v>
      </c>
      <c r="D320" t="s">
        <v>15</v>
      </c>
      <c r="E320">
        <v>7041.58</v>
      </c>
      <c r="F320">
        <v>17</v>
      </c>
      <c r="G320" t="s">
        <v>16</v>
      </c>
      <c r="H320">
        <v>890.31</v>
      </c>
      <c r="I320">
        <v>1159.06</v>
      </c>
      <c r="J320" t="s">
        <v>17</v>
      </c>
      <c r="K320">
        <v>0.06</v>
      </c>
      <c r="L320" t="s">
        <v>18</v>
      </c>
      <c r="M320" t="s">
        <v>22</v>
      </c>
      <c r="N320" t="s">
        <v>49</v>
      </c>
      <c r="O320">
        <f>Table2[[#This Row],[Unit_Cost]]*Table2[[#This Row],[Quantity_Sold]]</f>
        <v>15135.269999999999</v>
      </c>
      <c r="P320">
        <f t="shared" si="4"/>
        <v>-8093.6899999999987</v>
      </c>
      <c r="Q320" s="3">
        <f>Table2[[#This Row],[Gross_Profit]]/Table2[[#This Row],[Sales_Amount]]</f>
        <v>-1.1494139099463472</v>
      </c>
      <c r="R320" t="str">
        <f>TEXT(Table2[[#This Row],[Sale_Date]],"mmmm")</f>
        <v>June</v>
      </c>
      <c r="S320" s="4">
        <f>YEAR(Table2[[#This Row],[Sale_Date]])</f>
        <v>2023</v>
      </c>
    </row>
    <row r="321" spans="1:19" x14ac:dyDescent="0.35">
      <c r="A321">
        <v>1066</v>
      </c>
      <c r="B321" s="1">
        <v>45013</v>
      </c>
      <c r="C321" t="s">
        <v>33</v>
      </c>
      <c r="D321" t="s">
        <v>15</v>
      </c>
      <c r="E321">
        <v>7297.86</v>
      </c>
      <c r="F321">
        <v>7</v>
      </c>
      <c r="G321" t="s">
        <v>29</v>
      </c>
      <c r="H321">
        <v>523.41999999999996</v>
      </c>
      <c r="I321">
        <v>632.43999999999903</v>
      </c>
      <c r="J321" t="s">
        <v>30</v>
      </c>
      <c r="K321">
        <v>0.2</v>
      </c>
      <c r="L321" t="s">
        <v>27</v>
      </c>
      <c r="M321" t="s">
        <v>19</v>
      </c>
      <c r="N321" t="s">
        <v>53</v>
      </c>
      <c r="O321">
        <f>Table2[[#This Row],[Unit_Cost]]*Table2[[#This Row],[Quantity_Sold]]</f>
        <v>3663.9399999999996</v>
      </c>
      <c r="P321">
        <f t="shared" si="4"/>
        <v>3633.92</v>
      </c>
      <c r="Q321" s="3">
        <f>Table2[[#This Row],[Gross_Profit]]/Table2[[#This Row],[Sales_Amount]]</f>
        <v>0.49794323267368795</v>
      </c>
      <c r="R321" t="str">
        <f>TEXT(Table2[[#This Row],[Sale_Date]],"mmmm")</f>
        <v>March</v>
      </c>
      <c r="S321" s="4">
        <f>YEAR(Table2[[#This Row],[Sale_Date]])</f>
        <v>2023</v>
      </c>
    </row>
    <row r="322" spans="1:19" x14ac:dyDescent="0.35">
      <c r="A322">
        <v>1054</v>
      </c>
      <c r="B322" s="1">
        <v>44981</v>
      </c>
      <c r="C322" t="s">
        <v>42</v>
      </c>
      <c r="D322" t="s">
        <v>15</v>
      </c>
      <c r="E322">
        <v>5664.52</v>
      </c>
      <c r="F322">
        <v>43</v>
      </c>
      <c r="G322" t="s">
        <v>26</v>
      </c>
      <c r="H322">
        <v>2124.7199999999998</v>
      </c>
      <c r="I322">
        <v>2188.66</v>
      </c>
      <c r="J322" t="s">
        <v>17</v>
      </c>
      <c r="K322">
        <v>0.03</v>
      </c>
      <c r="L322" t="s">
        <v>31</v>
      </c>
      <c r="M322" t="s">
        <v>22</v>
      </c>
      <c r="N322" t="s">
        <v>49</v>
      </c>
      <c r="O322">
        <f>Table2[[#This Row],[Unit_Cost]]*Table2[[#This Row],[Quantity_Sold]]</f>
        <v>91362.959999999992</v>
      </c>
      <c r="P322">
        <f t="shared" ref="P322:P385" si="5">E322-O322</f>
        <v>-85698.439999999988</v>
      </c>
      <c r="Q322" s="3">
        <f>Table2[[#This Row],[Gross_Profit]]/Table2[[#This Row],[Sales_Amount]]</f>
        <v>-15.128985333267423</v>
      </c>
      <c r="R322" t="str">
        <f>TEXT(Table2[[#This Row],[Sale_Date]],"mmmm")</f>
        <v>February</v>
      </c>
      <c r="S322" s="4">
        <f>YEAR(Table2[[#This Row],[Sale_Date]])</f>
        <v>2023</v>
      </c>
    </row>
    <row r="323" spans="1:19" x14ac:dyDescent="0.35">
      <c r="A323">
        <v>1035</v>
      </c>
      <c r="B323" s="1">
        <v>45214</v>
      </c>
      <c r="C323" t="s">
        <v>24</v>
      </c>
      <c r="D323" t="s">
        <v>15</v>
      </c>
      <c r="E323">
        <v>9476.2000000000007</v>
      </c>
      <c r="F323">
        <v>1</v>
      </c>
      <c r="G323" t="s">
        <v>16</v>
      </c>
      <c r="H323">
        <v>610.83000000000004</v>
      </c>
      <c r="I323">
        <v>808.69</v>
      </c>
      <c r="J323" t="s">
        <v>30</v>
      </c>
      <c r="K323">
        <v>0.22</v>
      </c>
      <c r="L323" t="s">
        <v>31</v>
      </c>
      <c r="M323" t="s">
        <v>19</v>
      </c>
      <c r="N323" t="s">
        <v>45</v>
      </c>
      <c r="O323">
        <f>Table2[[#This Row],[Unit_Cost]]*Table2[[#This Row],[Quantity_Sold]]</f>
        <v>610.83000000000004</v>
      </c>
      <c r="P323">
        <f t="shared" si="5"/>
        <v>8865.3700000000008</v>
      </c>
      <c r="Q323" s="3">
        <f>Table2[[#This Row],[Gross_Profit]]/Table2[[#This Row],[Sales_Amount]]</f>
        <v>0.93554061754711804</v>
      </c>
      <c r="R323" t="str">
        <f>TEXT(Table2[[#This Row],[Sale_Date]],"mmmm")</f>
        <v>October</v>
      </c>
      <c r="S323" s="4">
        <f>YEAR(Table2[[#This Row],[Sale_Date]])</f>
        <v>2023</v>
      </c>
    </row>
    <row r="324" spans="1:19" x14ac:dyDescent="0.35">
      <c r="A324">
        <v>1080</v>
      </c>
      <c r="B324" s="1">
        <v>45104</v>
      </c>
      <c r="C324" t="s">
        <v>38</v>
      </c>
      <c r="D324" t="s">
        <v>21</v>
      </c>
      <c r="E324">
        <v>5012.96</v>
      </c>
      <c r="F324">
        <v>35</v>
      </c>
      <c r="G324" t="s">
        <v>16</v>
      </c>
      <c r="H324">
        <v>900.97</v>
      </c>
      <c r="I324">
        <v>1321.18</v>
      </c>
      <c r="J324" t="s">
        <v>17</v>
      </c>
      <c r="K324">
        <v>0.1</v>
      </c>
      <c r="L324" t="s">
        <v>18</v>
      </c>
      <c r="M324" t="s">
        <v>19</v>
      </c>
      <c r="N324" t="s">
        <v>41</v>
      </c>
      <c r="O324">
        <f>Table2[[#This Row],[Unit_Cost]]*Table2[[#This Row],[Quantity_Sold]]</f>
        <v>31533.95</v>
      </c>
      <c r="P324">
        <f t="shared" si="5"/>
        <v>-26520.99</v>
      </c>
      <c r="Q324" s="3">
        <f>Table2[[#This Row],[Gross_Profit]]/Table2[[#This Row],[Sales_Amount]]</f>
        <v>-5.2904850627174369</v>
      </c>
      <c r="R324" t="str">
        <f>TEXT(Table2[[#This Row],[Sale_Date]],"mmmm")</f>
        <v>June</v>
      </c>
      <c r="S324" s="4">
        <f>YEAR(Table2[[#This Row],[Sale_Date]])</f>
        <v>2023</v>
      </c>
    </row>
    <row r="325" spans="1:19" x14ac:dyDescent="0.35">
      <c r="A325">
        <v>1061</v>
      </c>
      <c r="B325" s="1">
        <v>45275</v>
      </c>
      <c r="C325" t="s">
        <v>42</v>
      </c>
      <c r="D325" t="s">
        <v>15</v>
      </c>
      <c r="E325">
        <v>3867.13</v>
      </c>
      <c r="F325">
        <v>32</v>
      </c>
      <c r="G325" t="s">
        <v>26</v>
      </c>
      <c r="H325">
        <v>2759.26</v>
      </c>
      <c r="I325">
        <v>3193.25</v>
      </c>
      <c r="J325" t="s">
        <v>30</v>
      </c>
      <c r="K325">
        <v>0.2</v>
      </c>
      <c r="L325" t="s">
        <v>27</v>
      </c>
      <c r="M325" t="s">
        <v>19</v>
      </c>
      <c r="N325" t="s">
        <v>49</v>
      </c>
      <c r="O325">
        <f>Table2[[#This Row],[Unit_Cost]]*Table2[[#This Row],[Quantity_Sold]]</f>
        <v>88296.320000000007</v>
      </c>
      <c r="P325">
        <f t="shared" si="5"/>
        <v>-84429.19</v>
      </c>
      <c r="Q325" s="3">
        <f>Table2[[#This Row],[Gross_Profit]]/Table2[[#This Row],[Sales_Amount]]</f>
        <v>-21.832519206750227</v>
      </c>
      <c r="R325" t="str">
        <f>TEXT(Table2[[#This Row],[Sale_Date]],"mmmm")</f>
        <v>December</v>
      </c>
      <c r="S325" s="4">
        <f>YEAR(Table2[[#This Row],[Sale_Date]])</f>
        <v>2023</v>
      </c>
    </row>
    <row r="326" spans="1:19" x14ac:dyDescent="0.35">
      <c r="A326">
        <v>1041</v>
      </c>
      <c r="B326" s="1">
        <v>44934</v>
      </c>
      <c r="C326" t="s">
        <v>24</v>
      </c>
      <c r="D326" t="s">
        <v>34</v>
      </c>
      <c r="E326">
        <v>1714.05</v>
      </c>
      <c r="F326">
        <v>36</v>
      </c>
      <c r="G326" t="s">
        <v>26</v>
      </c>
      <c r="H326">
        <v>864.77</v>
      </c>
      <c r="I326">
        <v>1170.1599999999901</v>
      </c>
      <c r="J326" t="s">
        <v>17</v>
      </c>
      <c r="K326">
        <v>0.11</v>
      </c>
      <c r="L326" t="s">
        <v>18</v>
      </c>
      <c r="M326" t="s">
        <v>22</v>
      </c>
      <c r="N326" t="s">
        <v>50</v>
      </c>
      <c r="O326">
        <f>Table2[[#This Row],[Unit_Cost]]*Table2[[#This Row],[Quantity_Sold]]</f>
        <v>31131.72</v>
      </c>
      <c r="P326">
        <f t="shared" si="5"/>
        <v>-29417.670000000002</v>
      </c>
      <c r="Q326" s="3">
        <f>Table2[[#This Row],[Gross_Profit]]/Table2[[#This Row],[Sales_Amount]]</f>
        <v>-17.162667366762932</v>
      </c>
      <c r="R326" t="str">
        <f>TEXT(Table2[[#This Row],[Sale_Date]],"mmmm")</f>
        <v>January</v>
      </c>
      <c r="S326" s="4">
        <f>YEAR(Table2[[#This Row],[Sale_Date]])</f>
        <v>2023</v>
      </c>
    </row>
    <row r="327" spans="1:19" x14ac:dyDescent="0.35">
      <c r="A327">
        <v>1100</v>
      </c>
      <c r="B327" s="1">
        <v>45247</v>
      </c>
      <c r="C327" t="s">
        <v>14</v>
      </c>
      <c r="D327" t="s">
        <v>34</v>
      </c>
      <c r="E327">
        <v>7883.44</v>
      </c>
      <c r="F327">
        <v>13</v>
      </c>
      <c r="G327" t="s">
        <v>26</v>
      </c>
      <c r="H327">
        <v>366.2</v>
      </c>
      <c r="I327">
        <v>732.69</v>
      </c>
      <c r="J327" t="s">
        <v>30</v>
      </c>
      <c r="K327">
        <v>0.04</v>
      </c>
      <c r="L327" t="s">
        <v>18</v>
      </c>
      <c r="M327" t="s">
        <v>22</v>
      </c>
      <c r="N327" t="s">
        <v>46</v>
      </c>
      <c r="O327">
        <f>Table2[[#This Row],[Unit_Cost]]*Table2[[#This Row],[Quantity_Sold]]</f>
        <v>4760.5999999999995</v>
      </c>
      <c r="P327">
        <f t="shared" si="5"/>
        <v>3122.84</v>
      </c>
      <c r="Q327" s="3">
        <f>Table2[[#This Row],[Gross_Profit]]/Table2[[#This Row],[Sales_Amount]]</f>
        <v>0.3961265640380342</v>
      </c>
      <c r="R327" t="str">
        <f>TEXT(Table2[[#This Row],[Sale_Date]],"mmmm")</f>
        <v>November</v>
      </c>
      <c r="S327" s="4">
        <f>YEAR(Table2[[#This Row],[Sale_Date]])</f>
        <v>2023</v>
      </c>
    </row>
    <row r="328" spans="1:19" x14ac:dyDescent="0.35">
      <c r="A328">
        <v>1033</v>
      </c>
      <c r="B328" s="1">
        <v>45239</v>
      </c>
      <c r="C328" t="s">
        <v>24</v>
      </c>
      <c r="D328" t="s">
        <v>34</v>
      </c>
      <c r="E328">
        <v>7370.99</v>
      </c>
      <c r="F328">
        <v>6</v>
      </c>
      <c r="G328" t="s">
        <v>29</v>
      </c>
      <c r="H328">
        <v>1621.07</v>
      </c>
      <c r="I328">
        <v>1687.5</v>
      </c>
      <c r="J328" t="s">
        <v>17</v>
      </c>
      <c r="K328">
        <v>0.12</v>
      </c>
      <c r="L328" t="s">
        <v>31</v>
      </c>
      <c r="M328" t="s">
        <v>19</v>
      </c>
      <c r="N328" t="s">
        <v>50</v>
      </c>
      <c r="O328">
        <f>Table2[[#This Row],[Unit_Cost]]*Table2[[#This Row],[Quantity_Sold]]</f>
        <v>9726.42</v>
      </c>
      <c r="P328">
        <f t="shared" si="5"/>
        <v>-2355.4300000000003</v>
      </c>
      <c r="Q328" s="3">
        <f>Table2[[#This Row],[Gross_Profit]]/Table2[[#This Row],[Sales_Amount]]</f>
        <v>-0.31955408974913824</v>
      </c>
      <c r="R328" t="str">
        <f>TEXT(Table2[[#This Row],[Sale_Date]],"mmmm")</f>
        <v>November</v>
      </c>
      <c r="S328" s="4">
        <f>YEAR(Table2[[#This Row],[Sale_Date]])</f>
        <v>2023</v>
      </c>
    </row>
    <row r="329" spans="1:19" x14ac:dyDescent="0.35">
      <c r="A329">
        <v>1068</v>
      </c>
      <c r="B329" s="1">
        <v>45173</v>
      </c>
      <c r="C329" t="s">
        <v>38</v>
      </c>
      <c r="D329" t="s">
        <v>34</v>
      </c>
      <c r="E329">
        <v>3905.11</v>
      </c>
      <c r="F329">
        <v>14</v>
      </c>
      <c r="G329" t="s">
        <v>26</v>
      </c>
      <c r="H329">
        <v>1140.58</v>
      </c>
      <c r="I329">
        <v>1438.76</v>
      </c>
      <c r="J329" t="s">
        <v>17</v>
      </c>
      <c r="K329">
        <v>0.03</v>
      </c>
      <c r="L329" t="s">
        <v>27</v>
      </c>
      <c r="M329" t="s">
        <v>19</v>
      </c>
      <c r="N329" t="s">
        <v>48</v>
      </c>
      <c r="O329">
        <f>Table2[[#This Row],[Unit_Cost]]*Table2[[#This Row],[Quantity_Sold]]</f>
        <v>15968.119999999999</v>
      </c>
      <c r="P329">
        <f t="shared" si="5"/>
        <v>-12063.009999999998</v>
      </c>
      <c r="Q329" s="3">
        <f>Table2[[#This Row],[Gross_Profit]]/Table2[[#This Row],[Sales_Amount]]</f>
        <v>-3.0890320631172998</v>
      </c>
      <c r="R329" t="str">
        <f>TEXT(Table2[[#This Row],[Sale_Date]],"mmmm")</f>
        <v>September</v>
      </c>
      <c r="S329" s="4">
        <f>YEAR(Table2[[#This Row],[Sale_Date]])</f>
        <v>2023</v>
      </c>
    </row>
    <row r="330" spans="1:19" x14ac:dyDescent="0.35">
      <c r="A330">
        <v>1033</v>
      </c>
      <c r="B330" s="1">
        <v>45249</v>
      </c>
      <c r="C330" t="s">
        <v>24</v>
      </c>
      <c r="D330" t="s">
        <v>15</v>
      </c>
      <c r="E330">
        <v>349.41</v>
      </c>
      <c r="F330">
        <v>37</v>
      </c>
      <c r="G330" t="s">
        <v>35</v>
      </c>
      <c r="H330">
        <v>2600.7600000000002</v>
      </c>
      <c r="I330">
        <v>2937.57</v>
      </c>
      <c r="J330" t="s">
        <v>30</v>
      </c>
      <c r="K330">
        <v>0.17</v>
      </c>
      <c r="L330" t="s">
        <v>31</v>
      </c>
      <c r="M330" t="s">
        <v>22</v>
      </c>
      <c r="N330" t="s">
        <v>45</v>
      </c>
      <c r="O330">
        <f>Table2[[#This Row],[Unit_Cost]]*Table2[[#This Row],[Quantity_Sold]]</f>
        <v>96228.12000000001</v>
      </c>
      <c r="P330">
        <f t="shared" si="5"/>
        <v>-95878.71</v>
      </c>
      <c r="Q330" s="3">
        <f>Table2[[#This Row],[Gross_Profit]]/Table2[[#This Row],[Sales_Amount]]</f>
        <v>-274.40173435219367</v>
      </c>
      <c r="R330" t="str">
        <f>TEXT(Table2[[#This Row],[Sale_Date]],"mmmm")</f>
        <v>November</v>
      </c>
      <c r="S330" s="4">
        <f>YEAR(Table2[[#This Row],[Sale_Date]])</f>
        <v>2023</v>
      </c>
    </row>
    <row r="331" spans="1:19" x14ac:dyDescent="0.35">
      <c r="A331">
        <v>1014</v>
      </c>
      <c r="B331" s="1">
        <v>45181</v>
      </c>
      <c r="C331" t="s">
        <v>33</v>
      </c>
      <c r="D331" t="s">
        <v>34</v>
      </c>
      <c r="E331">
        <v>8406.07</v>
      </c>
      <c r="F331">
        <v>48</v>
      </c>
      <c r="G331" t="s">
        <v>16</v>
      </c>
      <c r="H331">
        <v>556.72</v>
      </c>
      <c r="I331">
        <v>665.07</v>
      </c>
      <c r="J331" t="s">
        <v>17</v>
      </c>
      <c r="K331">
        <v>0.01</v>
      </c>
      <c r="L331" t="s">
        <v>27</v>
      </c>
      <c r="M331" t="s">
        <v>22</v>
      </c>
      <c r="N331" t="s">
        <v>36</v>
      </c>
      <c r="O331">
        <f>Table2[[#This Row],[Unit_Cost]]*Table2[[#This Row],[Quantity_Sold]]</f>
        <v>26722.560000000001</v>
      </c>
      <c r="P331">
        <f t="shared" si="5"/>
        <v>-18316.490000000002</v>
      </c>
      <c r="Q331" s="3">
        <f>Table2[[#This Row],[Gross_Profit]]/Table2[[#This Row],[Sales_Amount]]</f>
        <v>-2.1789599658342129</v>
      </c>
      <c r="R331" t="str">
        <f>TEXT(Table2[[#This Row],[Sale_Date]],"mmmm")</f>
        <v>September</v>
      </c>
      <c r="S331" s="4">
        <f>YEAR(Table2[[#This Row],[Sale_Date]])</f>
        <v>2023</v>
      </c>
    </row>
    <row r="332" spans="1:19" x14ac:dyDescent="0.35">
      <c r="A332">
        <v>1021</v>
      </c>
      <c r="B332" s="1">
        <v>45254</v>
      </c>
      <c r="C332" t="s">
        <v>38</v>
      </c>
      <c r="D332" t="s">
        <v>15</v>
      </c>
      <c r="E332">
        <v>213.04</v>
      </c>
      <c r="F332">
        <v>15</v>
      </c>
      <c r="G332" t="s">
        <v>26</v>
      </c>
      <c r="H332">
        <v>3771.27</v>
      </c>
      <c r="I332">
        <v>4212.55</v>
      </c>
      <c r="J332" t="s">
        <v>17</v>
      </c>
      <c r="K332">
        <v>0.16</v>
      </c>
      <c r="L332" t="s">
        <v>31</v>
      </c>
      <c r="M332" t="s">
        <v>22</v>
      </c>
      <c r="N332" t="s">
        <v>40</v>
      </c>
      <c r="O332">
        <f>Table2[[#This Row],[Unit_Cost]]*Table2[[#This Row],[Quantity_Sold]]</f>
        <v>56569.05</v>
      </c>
      <c r="P332">
        <f t="shared" si="5"/>
        <v>-56356.01</v>
      </c>
      <c r="Q332" s="3">
        <f>Table2[[#This Row],[Gross_Profit]]/Table2[[#This Row],[Sales_Amount]]</f>
        <v>-264.53252910251598</v>
      </c>
      <c r="R332" t="str">
        <f>TEXT(Table2[[#This Row],[Sale_Date]],"mmmm")</f>
        <v>November</v>
      </c>
      <c r="S332" s="4">
        <f>YEAR(Table2[[#This Row],[Sale_Date]])</f>
        <v>2023</v>
      </c>
    </row>
    <row r="333" spans="1:19" x14ac:dyDescent="0.35">
      <c r="A333">
        <v>1048</v>
      </c>
      <c r="B333" s="1">
        <v>44980</v>
      </c>
      <c r="C333" t="s">
        <v>14</v>
      </c>
      <c r="D333" t="s">
        <v>21</v>
      </c>
      <c r="E333">
        <v>7066.63</v>
      </c>
      <c r="F333">
        <v>47</v>
      </c>
      <c r="G333" t="s">
        <v>26</v>
      </c>
      <c r="H333">
        <v>4535.8599999999997</v>
      </c>
      <c r="I333">
        <v>4641.41</v>
      </c>
      <c r="J333" t="s">
        <v>30</v>
      </c>
      <c r="K333">
        <v>0.27</v>
      </c>
      <c r="L333" t="s">
        <v>31</v>
      </c>
      <c r="M333" t="s">
        <v>22</v>
      </c>
      <c r="N333" t="s">
        <v>23</v>
      </c>
      <c r="O333">
        <f>Table2[[#This Row],[Unit_Cost]]*Table2[[#This Row],[Quantity_Sold]]</f>
        <v>213185.41999999998</v>
      </c>
      <c r="P333">
        <f t="shared" si="5"/>
        <v>-206118.78999999998</v>
      </c>
      <c r="Q333" s="3">
        <f>Table2[[#This Row],[Gross_Profit]]/Table2[[#This Row],[Sales_Amount]]</f>
        <v>-29.167904644788248</v>
      </c>
      <c r="R333" t="str">
        <f>TEXT(Table2[[#This Row],[Sale_Date]],"mmmm")</f>
        <v>February</v>
      </c>
      <c r="S333" s="4">
        <f>YEAR(Table2[[#This Row],[Sale_Date]])</f>
        <v>2023</v>
      </c>
    </row>
    <row r="334" spans="1:19" x14ac:dyDescent="0.35">
      <c r="A334">
        <v>1020</v>
      </c>
      <c r="B334" s="1">
        <v>45175</v>
      </c>
      <c r="C334" t="s">
        <v>33</v>
      </c>
      <c r="D334" t="s">
        <v>34</v>
      </c>
      <c r="E334">
        <v>9705.5499999999993</v>
      </c>
      <c r="F334">
        <v>4</v>
      </c>
      <c r="G334" t="s">
        <v>29</v>
      </c>
      <c r="H334">
        <v>3730</v>
      </c>
      <c r="I334">
        <v>3893.6</v>
      </c>
      <c r="J334" t="s">
        <v>30</v>
      </c>
      <c r="K334">
        <v>0.25</v>
      </c>
      <c r="L334" t="s">
        <v>27</v>
      </c>
      <c r="M334" t="s">
        <v>22</v>
      </c>
      <c r="N334" t="s">
        <v>36</v>
      </c>
      <c r="O334">
        <f>Table2[[#This Row],[Unit_Cost]]*Table2[[#This Row],[Quantity_Sold]]</f>
        <v>14920</v>
      </c>
      <c r="P334">
        <f t="shared" si="5"/>
        <v>-5214.4500000000007</v>
      </c>
      <c r="Q334" s="3">
        <f>Table2[[#This Row],[Gross_Profit]]/Table2[[#This Row],[Sales_Amount]]</f>
        <v>-0.53726476088423647</v>
      </c>
      <c r="R334" t="str">
        <f>TEXT(Table2[[#This Row],[Sale_Date]],"mmmm")</f>
        <v>September</v>
      </c>
      <c r="S334" s="4">
        <f>YEAR(Table2[[#This Row],[Sale_Date]])</f>
        <v>2023</v>
      </c>
    </row>
    <row r="335" spans="1:19" x14ac:dyDescent="0.35">
      <c r="A335">
        <v>1008</v>
      </c>
      <c r="B335" s="1">
        <v>45165</v>
      </c>
      <c r="C335" t="s">
        <v>24</v>
      </c>
      <c r="D335" t="s">
        <v>25</v>
      </c>
      <c r="E335">
        <v>4432.8500000000004</v>
      </c>
      <c r="F335">
        <v>40</v>
      </c>
      <c r="G335" t="s">
        <v>29</v>
      </c>
      <c r="H335">
        <v>2687.49</v>
      </c>
      <c r="I335">
        <v>3001.56</v>
      </c>
      <c r="J335" t="s">
        <v>17</v>
      </c>
      <c r="K335">
        <v>0.26</v>
      </c>
      <c r="L335" t="s">
        <v>27</v>
      </c>
      <c r="M335" t="s">
        <v>19</v>
      </c>
      <c r="N335" t="s">
        <v>28</v>
      </c>
      <c r="O335">
        <f>Table2[[#This Row],[Unit_Cost]]*Table2[[#This Row],[Quantity_Sold]]</f>
        <v>107499.59999999999</v>
      </c>
      <c r="P335">
        <f t="shared" si="5"/>
        <v>-103066.74999999999</v>
      </c>
      <c r="Q335" s="3">
        <f>Table2[[#This Row],[Gross_Profit]]/Table2[[#This Row],[Sales_Amount]]</f>
        <v>-23.250673945655723</v>
      </c>
      <c r="R335" t="str">
        <f>TEXT(Table2[[#This Row],[Sale_Date]],"mmmm")</f>
        <v>August</v>
      </c>
      <c r="S335" s="4">
        <f>YEAR(Table2[[#This Row],[Sale_Date]])</f>
        <v>2023</v>
      </c>
    </row>
    <row r="336" spans="1:19" x14ac:dyDescent="0.3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c r="O336">
        <f>Table2[[#This Row],[Unit_Cost]]*Table2[[#This Row],[Quantity_Sold]]</f>
        <v>68964.960000000006</v>
      </c>
      <c r="P336">
        <f t="shared" si="5"/>
        <v>-66538.720000000001</v>
      </c>
      <c r="Q336" s="3">
        <f>Table2[[#This Row],[Gross_Profit]]/Table2[[#This Row],[Sales_Amount]]</f>
        <v>-27.424624109733582</v>
      </c>
      <c r="R336" t="str">
        <f>TEXT(Table2[[#This Row],[Sale_Date]],"mmmm")</f>
        <v>August</v>
      </c>
      <c r="S336" s="4">
        <f>YEAR(Table2[[#This Row],[Sale_Date]])</f>
        <v>2023</v>
      </c>
    </row>
    <row r="337" spans="1:19" x14ac:dyDescent="0.35">
      <c r="A337">
        <v>1067</v>
      </c>
      <c r="B337" s="1">
        <v>44993</v>
      </c>
      <c r="C337" t="s">
        <v>14</v>
      </c>
      <c r="D337" t="s">
        <v>34</v>
      </c>
      <c r="E337">
        <v>7078.22</v>
      </c>
      <c r="F337">
        <v>28</v>
      </c>
      <c r="G337" t="s">
        <v>35</v>
      </c>
      <c r="H337">
        <v>3489.85</v>
      </c>
      <c r="I337">
        <v>3842.5499999999902</v>
      </c>
      <c r="J337" t="s">
        <v>30</v>
      </c>
      <c r="K337">
        <v>0.03</v>
      </c>
      <c r="L337" t="s">
        <v>27</v>
      </c>
      <c r="M337" t="s">
        <v>19</v>
      </c>
      <c r="N337" t="s">
        <v>46</v>
      </c>
      <c r="O337">
        <f>Table2[[#This Row],[Unit_Cost]]*Table2[[#This Row],[Quantity_Sold]]</f>
        <v>97715.8</v>
      </c>
      <c r="P337">
        <f t="shared" si="5"/>
        <v>-90637.58</v>
      </c>
      <c r="Q337" s="3">
        <f>Table2[[#This Row],[Gross_Profit]]/Table2[[#This Row],[Sales_Amount]]</f>
        <v>-12.805137449810829</v>
      </c>
      <c r="R337" t="str">
        <f>TEXT(Table2[[#This Row],[Sale_Date]],"mmmm")</f>
        <v>March</v>
      </c>
      <c r="S337" s="4">
        <f>YEAR(Table2[[#This Row],[Sale_Date]])</f>
        <v>2023</v>
      </c>
    </row>
    <row r="338" spans="1:19" x14ac:dyDescent="0.35">
      <c r="A338">
        <v>1017</v>
      </c>
      <c r="B338" s="1">
        <v>44977</v>
      </c>
      <c r="C338" t="s">
        <v>33</v>
      </c>
      <c r="D338" t="s">
        <v>15</v>
      </c>
      <c r="E338">
        <v>8189.57</v>
      </c>
      <c r="F338">
        <v>16</v>
      </c>
      <c r="G338" t="s">
        <v>16</v>
      </c>
      <c r="H338">
        <v>102.23</v>
      </c>
      <c r="I338">
        <v>167.12</v>
      </c>
      <c r="J338" t="s">
        <v>30</v>
      </c>
      <c r="K338">
        <v>0.04</v>
      </c>
      <c r="L338" t="s">
        <v>31</v>
      </c>
      <c r="M338" t="s">
        <v>22</v>
      </c>
      <c r="N338" t="s">
        <v>53</v>
      </c>
      <c r="O338">
        <f>Table2[[#This Row],[Unit_Cost]]*Table2[[#This Row],[Quantity_Sold]]</f>
        <v>1635.68</v>
      </c>
      <c r="P338">
        <f t="shared" si="5"/>
        <v>6553.8899999999994</v>
      </c>
      <c r="Q338" s="3">
        <f>Table2[[#This Row],[Gross_Profit]]/Table2[[#This Row],[Sales_Amount]]</f>
        <v>0.80027278599486906</v>
      </c>
      <c r="R338" t="str">
        <f>TEXT(Table2[[#This Row],[Sale_Date]],"mmmm")</f>
        <v>February</v>
      </c>
      <c r="S338" s="4">
        <f>YEAR(Table2[[#This Row],[Sale_Date]])</f>
        <v>2023</v>
      </c>
    </row>
    <row r="339" spans="1:19" x14ac:dyDescent="0.35">
      <c r="A339">
        <v>1033</v>
      </c>
      <c r="B339" s="1">
        <v>45023</v>
      </c>
      <c r="C339" t="s">
        <v>14</v>
      </c>
      <c r="D339" t="s">
        <v>34</v>
      </c>
      <c r="E339">
        <v>5509.66</v>
      </c>
      <c r="F339">
        <v>4</v>
      </c>
      <c r="G339" t="s">
        <v>26</v>
      </c>
      <c r="H339">
        <v>2000.75</v>
      </c>
      <c r="I339">
        <v>2426.9899999999998</v>
      </c>
      <c r="J339" t="s">
        <v>17</v>
      </c>
      <c r="K339">
        <v>0.17</v>
      </c>
      <c r="L339" t="s">
        <v>27</v>
      </c>
      <c r="M339" t="s">
        <v>19</v>
      </c>
      <c r="N339" t="s">
        <v>46</v>
      </c>
      <c r="O339">
        <f>Table2[[#This Row],[Unit_Cost]]*Table2[[#This Row],[Quantity_Sold]]</f>
        <v>8003</v>
      </c>
      <c r="P339">
        <f t="shared" si="5"/>
        <v>-2493.34</v>
      </c>
      <c r="Q339" s="3">
        <f>Table2[[#This Row],[Gross_Profit]]/Table2[[#This Row],[Sales_Amount]]</f>
        <v>-0.45253972114431745</v>
      </c>
      <c r="R339" t="str">
        <f>TEXT(Table2[[#This Row],[Sale_Date]],"mmmm")</f>
        <v>April</v>
      </c>
      <c r="S339" s="4">
        <f>YEAR(Table2[[#This Row],[Sale_Date]])</f>
        <v>2023</v>
      </c>
    </row>
    <row r="340" spans="1:19" x14ac:dyDescent="0.35">
      <c r="A340">
        <v>1048</v>
      </c>
      <c r="B340" s="1">
        <v>45018</v>
      </c>
      <c r="C340" t="s">
        <v>24</v>
      </c>
      <c r="D340" t="s">
        <v>25</v>
      </c>
      <c r="E340">
        <v>9673.65</v>
      </c>
      <c r="F340">
        <v>45</v>
      </c>
      <c r="G340" t="s">
        <v>35</v>
      </c>
      <c r="H340">
        <v>4262.21</v>
      </c>
      <c r="I340">
        <v>4533.3100000000004</v>
      </c>
      <c r="J340" t="s">
        <v>17</v>
      </c>
      <c r="K340">
        <v>0.27</v>
      </c>
      <c r="L340" t="s">
        <v>31</v>
      </c>
      <c r="M340" t="s">
        <v>19</v>
      </c>
      <c r="N340" t="s">
        <v>28</v>
      </c>
      <c r="O340">
        <f>Table2[[#This Row],[Unit_Cost]]*Table2[[#This Row],[Quantity_Sold]]</f>
        <v>191799.45</v>
      </c>
      <c r="P340">
        <f t="shared" si="5"/>
        <v>-182125.80000000002</v>
      </c>
      <c r="Q340" s="3">
        <f>Table2[[#This Row],[Gross_Profit]]/Table2[[#This Row],[Sales_Amount]]</f>
        <v>-18.826999116155744</v>
      </c>
      <c r="R340" t="str">
        <f>TEXT(Table2[[#This Row],[Sale_Date]],"mmmm")</f>
        <v>April</v>
      </c>
      <c r="S340" s="4">
        <f>YEAR(Table2[[#This Row],[Sale_Date]])</f>
        <v>2023</v>
      </c>
    </row>
    <row r="341" spans="1:19" x14ac:dyDescent="0.35">
      <c r="A341">
        <v>1076</v>
      </c>
      <c r="B341" s="1">
        <v>45190</v>
      </c>
      <c r="C341" t="s">
        <v>14</v>
      </c>
      <c r="D341" t="s">
        <v>15</v>
      </c>
      <c r="E341">
        <v>611.52</v>
      </c>
      <c r="F341">
        <v>26</v>
      </c>
      <c r="G341" t="s">
        <v>35</v>
      </c>
      <c r="H341">
        <v>1762</v>
      </c>
      <c r="I341">
        <v>2002.95</v>
      </c>
      <c r="J341" t="s">
        <v>17</v>
      </c>
      <c r="K341">
        <v>0.28999999999999998</v>
      </c>
      <c r="L341" t="s">
        <v>31</v>
      </c>
      <c r="M341" t="s">
        <v>22</v>
      </c>
      <c r="N341" t="s">
        <v>20</v>
      </c>
      <c r="O341">
        <f>Table2[[#This Row],[Unit_Cost]]*Table2[[#This Row],[Quantity_Sold]]</f>
        <v>45812</v>
      </c>
      <c r="P341">
        <f t="shared" si="5"/>
        <v>-45200.480000000003</v>
      </c>
      <c r="Q341" s="3">
        <f>Table2[[#This Row],[Gross_Profit]]/Table2[[#This Row],[Sales_Amount]]</f>
        <v>-73.914965986394563</v>
      </c>
      <c r="R341" t="str">
        <f>TEXT(Table2[[#This Row],[Sale_Date]],"mmmm")</f>
        <v>September</v>
      </c>
      <c r="S341" s="4">
        <f>YEAR(Table2[[#This Row],[Sale_Date]])</f>
        <v>2023</v>
      </c>
    </row>
    <row r="342" spans="1:19" x14ac:dyDescent="0.35">
      <c r="A342">
        <v>1059</v>
      </c>
      <c r="B342" s="1">
        <v>45217</v>
      </c>
      <c r="C342" t="s">
        <v>42</v>
      </c>
      <c r="D342" t="s">
        <v>15</v>
      </c>
      <c r="E342">
        <v>5097.4799999999996</v>
      </c>
      <c r="F342">
        <v>28</v>
      </c>
      <c r="G342" t="s">
        <v>35</v>
      </c>
      <c r="H342">
        <v>224.32</v>
      </c>
      <c r="I342">
        <v>715.06</v>
      </c>
      <c r="J342" t="s">
        <v>17</v>
      </c>
      <c r="K342">
        <v>0.01</v>
      </c>
      <c r="L342" t="s">
        <v>31</v>
      </c>
      <c r="M342" t="s">
        <v>19</v>
      </c>
      <c r="N342" t="s">
        <v>49</v>
      </c>
      <c r="O342">
        <f>Table2[[#This Row],[Unit_Cost]]*Table2[[#This Row],[Quantity_Sold]]</f>
        <v>6280.96</v>
      </c>
      <c r="P342">
        <f t="shared" si="5"/>
        <v>-1183.4800000000005</v>
      </c>
      <c r="Q342" s="3">
        <f>Table2[[#This Row],[Gross_Profit]]/Table2[[#This Row],[Sales_Amount]]</f>
        <v>-0.23216962106766492</v>
      </c>
      <c r="R342" t="str">
        <f>TEXT(Table2[[#This Row],[Sale_Date]],"mmmm")</f>
        <v>October</v>
      </c>
      <c r="S342" s="4">
        <f>YEAR(Table2[[#This Row],[Sale_Date]])</f>
        <v>2023</v>
      </c>
    </row>
    <row r="343" spans="1:19" x14ac:dyDescent="0.35">
      <c r="A343">
        <v>1086</v>
      </c>
      <c r="B343" s="1">
        <v>45022</v>
      </c>
      <c r="C343" t="s">
        <v>33</v>
      </c>
      <c r="D343" t="s">
        <v>21</v>
      </c>
      <c r="E343">
        <v>7212.69</v>
      </c>
      <c r="F343">
        <v>32</v>
      </c>
      <c r="G343" t="s">
        <v>35</v>
      </c>
      <c r="H343">
        <v>3743.59</v>
      </c>
      <c r="I343">
        <v>4116.38</v>
      </c>
      <c r="J343" t="s">
        <v>17</v>
      </c>
      <c r="K343">
        <v>0.11</v>
      </c>
      <c r="L343" t="s">
        <v>18</v>
      </c>
      <c r="M343" t="s">
        <v>19</v>
      </c>
      <c r="N343" t="s">
        <v>37</v>
      </c>
      <c r="O343">
        <f>Table2[[#This Row],[Unit_Cost]]*Table2[[#This Row],[Quantity_Sold]]</f>
        <v>119794.88</v>
      </c>
      <c r="P343">
        <f t="shared" si="5"/>
        <v>-112582.19</v>
      </c>
      <c r="Q343" s="3">
        <f>Table2[[#This Row],[Gross_Profit]]/Table2[[#This Row],[Sales_Amount]]</f>
        <v>-15.60890458344945</v>
      </c>
      <c r="R343" t="str">
        <f>TEXT(Table2[[#This Row],[Sale_Date]],"mmmm")</f>
        <v>April</v>
      </c>
      <c r="S343" s="4">
        <f>YEAR(Table2[[#This Row],[Sale_Date]])</f>
        <v>2023</v>
      </c>
    </row>
    <row r="344" spans="1:19" x14ac:dyDescent="0.35">
      <c r="A344">
        <v>1022</v>
      </c>
      <c r="B344" s="1">
        <v>45014</v>
      </c>
      <c r="C344" t="s">
        <v>14</v>
      </c>
      <c r="D344" t="s">
        <v>21</v>
      </c>
      <c r="E344">
        <v>8640.14</v>
      </c>
      <c r="F344">
        <v>45</v>
      </c>
      <c r="G344" t="s">
        <v>16</v>
      </c>
      <c r="H344">
        <v>4020.09</v>
      </c>
      <c r="I344">
        <v>4087.91</v>
      </c>
      <c r="J344" t="s">
        <v>17</v>
      </c>
      <c r="K344">
        <v>0.06</v>
      </c>
      <c r="L344" t="s">
        <v>27</v>
      </c>
      <c r="M344" t="s">
        <v>19</v>
      </c>
      <c r="N344" t="s">
        <v>23</v>
      </c>
      <c r="O344">
        <f>Table2[[#This Row],[Unit_Cost]]*Table2[[#This Row],[Quantity_Sold]]</f>
        <v>180904.05000000002</v>
      </c>
      <c r="P344">
        <f t="shared" si="5"/>
        <v>-172263.91000000003</v>
      </c>
      <c r="Q344" s="3">
        <f>Table2[[#This Row],[Gross_Profit]]/Table2[[#This Row],[Sales_Amount]]</f>
        <v>-19.937629482855606</v>
      </c>
      <c r="R344" t="str">
        <f>TEXT(Table2[[#This Row],[Sale_Date]],"mmmm")</f>
        <v>March</v>
      </c>
      <c r="S344" s="4">
        <f>YEAR(Table2[[#This Row],[Sale_Date]])</f>
        <v>2023</v>
      </c>
    </row>
    <row r="345" spans="1:19" x14ac:dyDescent="0.35">
      <c r="A345">
        <v>1030</v>
      </c>
      <c r="B345" s="1">
        <v>45004</v>
      </c>
      <c r="C345" t="s">
        <v>24</v>
      </c>
      <c r="D345" t="s">
        <v>34</v>
      </c>
      <c r="E345">
        <v>1874.63</v>
      </c>
      <c r="F345">
        <v>2</v>
      </c>
      <c r="G345" t="s">
        <v>29</v>
      </c>
      <c r="H345">
        <v>844.94</v>
      </c>
      <c r="I345">
        <v>1225.6400000000001</v>
      </c>
      <c r="J345" t="s">
        <v>17</v>
      </c>
      <c r="K345">
        <v>0.23</v>
      </c>
      <c r="L345" t="s">
        <v>31</v>
      </c>
      <c r="M345" t="s">
        <v>19</v>
      </c>
      <c r="N345" t="s">
        <v>50</v>
      </c>
      <c r="O345">
        <f>Table2[[#This Row],[Unit_Cost]]*Table2[[#This Row],[Quantity_Sold]]</f>
        <v>1689.88</v>
      </c>
      <c r="P345">
        <f t="shared" si="5"/>
        <v>184.75</v>
      </c>
      <c r="Q345" s="3">
        <f>Table2[[#This Row],[Gross_Profit]]/Table2[[#This Row],[Sales_Amount]]</f>
        <v>9.8552781082133542E-2</v>
      </c>
      <c r="R345" t="str">
        <f>TEXT(Table2[[#This Row],[Sale_Date]],"mmmm")</f>
        <v>March</v>
      </c>
      <c r="S345" s="4">
        <f>YEAR(Table2[[#This Row],[Sale_Date]])</f>
        <v>2023</v>
      </c>
    </row>
    <row r="346" spans="1:19" x14ac:dyDescent="0.35">
      <c r="A346">
        <v>1038</v>
      </c>
      <c r="B346" s="1">
        <v>45214</v>
      </c>
      <c r="C346" t="s">
        <v>24</v>
      </c>
      <c r="D346" t="s">
        <v>21</v>
      </c>
      <c r="E346">
        <v>8020.03</v>
      </c>
      <c r="F346">
        <v>31</v>
      </c>
      <c r="G346" t="s">
        <v>29</v>
      </c>
      <c r="H346">
        <v>2709.84</v>
      </c>
      <c r="I346">
        <v>2766.51</v>
      </c>
      <c r="J346" t="s">
        <v>30</v>
      </c>
      <c r="K346">
        <v>0.19</v>
      </c>
      <c r="L346" t="s">
        <v>18</v>
      </c>
      <c r="M346" t="s">
        <v>22</v>
      </c>
      <c r="N346" t="s">
        <v>47</v>
      </c>
      <c r="O346">
        <f>Table2[[#This Row],[Unit_Cost]]*Table2[[#This Row],[Quantity_Sold]]</f>
        <v>84005.040000000008</v>
      </c>
      <c r="P346">
        <f t="shared" si="5"/>
        <v>-75985.010000000009</v>
      </c>
      <c r="Q346" s="3">
        <f>Table2[[#This Row],[Gross_Profit]]/Table2[[#This Row],[Sales_Amount]]</f>
        <v>-9.4744047092093187</v>
      </c>
      <c r="R346" t="str">
        <f>TEXT(Table2[[#This Row],[Sale_Date]],"mmmm")</f>
        <v>October</v>
      </c>
      <c r="S346" s="4">
        <f>YEAR(Table2[[#This Row],[Sale_Date]])</f>
        <v>2023</v>
      </c>
    </row>
    <row r="347" spans="1:19" x14ac:dyDescent="0.35">
      <c r="A347">
        <v>1051</v>
      </c>
      <c r="B347" s="1">
        <v>45046</v>
      </c>
      <c r="C347" t="s">
        <v>14</v>
      </c>
      <c r="D347" t="s">
        <v>21</v>
      </c>
      <c r="E347">
        <v>5571.8</v>
      </c>
      <c r="F347">
        <v>3</v>
      </c>
      <c r="G347" t="s">
        <v>26</v>
      </c>
      <c r="H347">
        <v>1000.18</v>
      </c>
      <c r="I347">
        <v>1023.64</v>
      </c>
      <c r="J347" t="s">
        <v>17</v>
      </c>
      <c r="K347">
        <v>0.04</v>
      </c>
      <c r="L347" t="s">
        <v>31</v>
      </c>
      <c r="M347" t="s">
        <v>19</v>
      </c>
      <c r="N347" t="s">
        <v>23</v>
      </c>
      <c r="O347">
        <f>Table2[[#This Row],[Unit_Cost]]*Table2[[#This Row],[Quantity_Sold]]</f>
        <v>3000.54</v>
      </c>
      <c r="P347">
        <f t="shared" si="5"/>
        <v>2571.2600000000002</v>
      </c>
      <c r="Q347" s="3">
        <f>Table2[[#This Row],[Gross_Profit]]/Table2[[#This Row],[Sales_Amount]]</f>
        <v>0.4614774399655408</v>
      </c>
      <c r="R347" t="str">
        <f>TEXT(Table2[[#This Row],[Sale_Date]],"mmmm")</f>
        <v>April</v>
      </c>
      <c r="S347" s="4">
        <f>YEAR(Table2[[#This Row],[Sale_Date]])</f>
        <v>2023</v>
      </c>
    </row>
    <row r="348" spans="1:19" x14ac:dyDescent="0.35">
      <c r="A348">
        <v>1054</v>
      </c>
      <c r="B348" s="1">
        <v>45228</v>
      </c>
      <c r="C348" t="s">
        <v>24</v>
      </c>
      <c r="D348" t="s">
        <v>21</v>
      </c>
      <c r="E348">
        <v>4025.88</v>
      </c>
      <c r="F348">
        <v>8</v>
      </c>
      <c r="G348" t="s">
        <v>29</v>
      </c>
      <c r="H348">
        <v>3610.21</v>
      </c>
      <c r="I348">
        <v>3817.99</v>
      </c>
      <c r="J348" t="s">
        <v>17</v>
      </c>
      <c r="K348">
        <v>0.15</v>
      </c>
      <c r="L348" t="s">
        <v>18</v>
      </c>
      <c r="M348" t="s">
        <v>22</v>
      </c>
      <c r="N348" t="s">
        <v>47</v>
      </c>
      <c r="O348">
        <f>Table2[[#This Row],[Unit_Cost]]*Table2[[#This Row],[Quantity_Sold]]</f>
        <v>28881.68</v>
      </c>
      <c r="P348">
        <f t="shared" si="5"/>
        <v>-24855.8</v>
      </c>
      <c r="Q348" s="3">
        <f>Table2[[#This Row],[Gross_Profit]]/Table2[[#This Row],[Sales_Amount]]</f>
        <v>-6.1740041928721174</v>
      </c>
      <c r="R348" t="str">
        <f>TEXT(Table2[[#This Row],[Sale_Date]],"mmmm")</f>
        <v>October</v>
      </c>
      <c r="S348" s="4">
        <f>YEAR(Table2[[#This Row],[Sale_Date]])</f>
        <v>2023</v>
      </c>
    </row>
    <row r="349" spans="1:19" x14ac:dyDescent="0.35">
      <c r="A349">
        <v>1008</v>
      </c>
      <c r="B349" s="1">
        <v>45091</v>
      </c>
      <c r="C349" t="s">
        <v>38</v>
      </c>
      <c r="D349" t="s">
        <v>15</v>
      </c>
      <c r="E349">
        <v>1403.98</v>
      </c>
      <c r="F349">
        <v>24</v>
      </c>
      <c r="G349" t="s">
        <v>29</v>
      </c>
      <c r="H349">
        <v>1394.17</v>
      </c>
      <c r="I349">
        <v>1891.02</v>
      </c>
      <c r="J349" t="s">
        <v>30</v>
      </c>
      <c r="K349">
        <v>0.21</v>
      </c>
      <c r="L349" t="s">
        <v>31</v>
      </c>
      <c r="M349" t="s">
        <v>19</v>
      </c>
      <c r="N349" t="s">
        <v>40</v>
      </c>
      <c r="O349">
        <f>Table2[[#This Row],[Unit_Cost]]*Table2[[#This Row],[Quantity_Sold]]</f>
        <v>33460.080000000002</v>
      </c>
      <c r="P349">
        <f t="shared" si="5"/>
        <v>-32056.100000000002</v>
      </c>
      <c r="Q349" s="3">
        <f>Table2[[#This Row],[Gross_Profit]]/Table2[[#This Row],[Sales_Amount]]</f>
        <v>-22.832305303494351</v>
      </c>
      <c r="R349" t="str">
        <f>TEXT(Table2[[#This Row],[Sale_Date]],"mmmm")</f>
        <v>June</v>
      </c>
      <c r="S349" s="4">
        <f>YEAR(Table2[[#This Row],[Sale_Date]])</f>
        <v>2023</v>
      </c>
    </row>
    <row r="350" spans="1:19" x14ac:dyDescent="0.35">
      <c r="A350">
        <v>1027</v>
      </c>
      <c r="B350" s="1">
        <v>45108</v>
      </c>
      <c r="C350" t="s">
        <v>38</v>
      </c>
      <c r="D350" t="s">
        <v>15</v>
      </c>
      <c r="E350">
        <v>8666.43</v>
      </c>
      <c r="F350">
        <v>15</v>
      </c>
      <c r="G350" t="s">
        <v>29</v>
      </c>
      <c r="H350">
        <v>1615.26</v>
      </c>
      <c r="I350">
        <v>1710.95</v>
      </c>
      <c r="J350" t="s">
        <v>30</v>
      </c>
      <c r="K350">
        <v>0.23</v>
      </c>
      <c r="L350" t="s">
        <v>31</v>
      </c>
      <c r="M350" t="s">
        <v>22</v>
      </c>
      <c r="N350" t="s">
        <v>40</v>
      </c>
      <c r="O350">
        <f>Table2[[#This Row],[Unit_Cost]]*Table2[[#This Row],[Quantity_Sold]]</f>
        <v>24228.9</v>
      </c>
      <c r="P350">
        <f t="shared" si="5"/>
        <v>-15562.470000000001</v>
      </c>
      <c r="Q350" s="3">
        <f>Table2[[#This Row],[Gross_Profit]]/Table2[[#This Row],[Sales_Amount]]</f>
        <v>-1.7957186523170441</v>
      </c>
      <c r="R350" t="str">
        <f>TEXT(Table2[[#This Row],[Sale_Date]],"mmmm")</f>
        <v>July</v>
      </c>
      <c r="S350" s="4">
        <f>YEAR(Table2[[#This Row],[Sale_Date]])</f>
        <v>2023</v>
      </c>
    </row>
    <row r="351" spans="1:19" x14ac:dyDescent="0.35">
      <c r="A351">
        <v>1027</v>
      </c>
      <c r="B351" s="1">
        <v>45149</v>
      </c>
      <c r="C351" t="s">
        <v>38</v>
      </c>
      <c r="D351" t="s">
        <v>15</v>
      </c>
      <c r="E351">
        <v>1657</v>
      </c>
      <c r="F351">
        <v>43</v>
      </c>
      <c r="G351" t="s">
        <v>29</v>
      </c>
      <c r="H351">
        <v>4232.6099999999997</v>
      </c>
      <c r="I351">
        <v>4572.21</v>
      </c>
      <c r="J351" t="s">
        <v>30</v>
      </c>
      <c r="K351">
        <v>0.01</v>
      </c>
      <c r="L351" t="s">
        <v>18</v>
      </c>
      <c r="M351" t="s">
        <v>22</v>
      </c>
      <c r="N351" t="s">
        <v>40</v>
      </c>
      <c r="O351">
        <f>Table2[[#This Row],[Unit_Cost]]*Table2[[#This Row],[Quantity_Sold]]</f>
        <v>182002.22999999998</v>
      </c>
      <c r="P351">
        <f t="shared" si="5"/>
        <v>-180345.22999999998</v>
      </c>
      <c r="Q351" s="3">
        <f>Table2[[#This Row],[Gross_Profit]]/Table2[[#This Row],[Sales_Amount]]</f>
        <v>-108.83840072420035</v>
      </c>
      <c r="R351" t="str">
        <f>TEXT(Table2[[#This Row],[Sale_Date]],"mmmm")</f>
        <v>August</v>
      </c>
      <c r="S351" s="4">
        <f>YEAR(Table2[[#This Row],[Sale_Date]])</f>
        <v>2023</v>
      </c>
    </row>
    <row r="352" spans="1:19" x14ac:dyDescent="0.35">
      <c r="A352">
        <v>1098</v>
      </c>
      <c r="B352" s="1">
        <v>45237</v>
      </c>
      <c r="C352" t="s">
        <v>42</v>
      </c>
      <c r="D352" t="s">
        <v>21</v>
      </c>
      <c r="E352">
        <v>3166.9</v>
      </c>
      <c r="F352">
        <v>31</v>
      </c>
      <c r="G352" t="s">
        <v>26</v>
      </c>
      <c r="H352">
        <v>2407.8000000000002</v>
      </c>
      <c r="I352">
        <v>2502.7600000000002</v>
      </c>
      <c r="J352" t="s">
        <v>17</v>
      </c>
      <c r="K352">
        <v>0.27</v>
      </c>
      <c r="L352" t="s">
        <v>18</v>
      </c>
      <c r="M352" t="s">
        <v>22</v>
      </c>
      <c r="N352" t="s">
        <v>51</v>
      </c>
      <c r="O352">
        <f>Table2[[#This Row],[Unit_Cost]]*Table2[[#This Row],[Quantity_Sold]]</f>
        <v>74641.8</v>
      </c>
      <c r="P352">
        <f t="shared" si="5"/>
        <v>-71474.900000000009</v>
      </c>
      <c r="Q352" s="3">
        <f>Table2[[#This Row],[Gross_Profit]]/Table2[[#This Row],[Sales_Amount]]</f>
        <v>-22.56935804730178</v>
      </c>
      <c r="R352" t="str">
        <f>TEXT(Table2[[#This Row],[Sale_Date]],"mmmm")</f>
        <v>November</v>
      </c>
      <c r="S352" s="4">
        <f>YEAR(Table2[[#This Row],[Sale_Date]])</f>
        <v>2023</v>
      </c>
    </row>
    <row r="353" spans="1:19" x14ac:dyDescent="0.35">
      <c r="A353">
        <v>1021</v>
      </c>
      <c r="B353" s="1">
        <v>44933</v>
      </c>
      <c r="C353" t="s">
        <v>14</v>
      </c>
      <c r="D353" t="s">
        <v>15</v>
      </c>
      <c r="E353">
        <v>2971.45</v>
      </c>
      <c r="F353">
        <v>9</v>
      </c>
      <c r="G353" t="s">
        <v>16</v>
      </c>
      <c r="H353">
        <v>3365.28</v>
      </c>
      <c r="I353">
        <v>3730.43</v>
      </c>
      <c r="J353" t="s">
        <v>30</v>
      </c>
      <c r="K353">
        <v>0.17</v>
      </c>
      <c r="L353" t="s">
        <v>27</v>
      </c>
      <c r="M353" t="s">
        <v>19</v>
      </c>
      <c r="N353" t="s">
        <v>20</v>
      </c>
      <c r="O353">
        <f>Table2[[#This Row],[Unit_Cost]]*Table2[[#This Row],[Quantity_Sold]]</f>
        <v>30287.52</v>
      </c>
      <c r="P353">
        <f t="shared" si="5"/>
        <v>-27316.07</v>
      </c>
      <c r="Q353" s="3">
        <f>Table2[[#This Row],[Gross_Profit]]/Table2[[#This Row],[Sales_Amount]]</f>
        <v>-9.1928418785441455</v>
      </c>
      <c r="R353" t="str">
        <f>TEXT(Table2[[#This Row],[Sale_Date]],"mmmm")</f>
        <v>January</v>
      </c>
      <c r="S353" s="4">
        <f>YEAR(Table2[[#This Row],[Sale_Date]])</f>
        <v>2023</v>
      </c>
    </row>
    <row r="354" spans="1:19" x14ac:dyDescent="0.35">
      <c r="A354">
        <v>1030</v>
      </c>
      <c r="B354" s="1">
        <v>45256</v>
      </c>
      <c r="C354" t="s">
        <v>42</v>
      </c>
      <c r="D354" t="s">
        <v>21</v>
      </c>
      <c r="E354">
        <v>8727</v>
      </c>
      <c r="F354">
        <v>39</v>
      </c>
      <c r="G354" t="s">
        <v>35</v>
      </c>
      <c r="H354">
        <v>2041.75</v>
      </c>
      <c r="I354">
        <v>2299.37</v>
      </c>
      <c r="J354" t="s">
        <v>17</v>
      </c>
      <c r="K354">
        <v>0.24</v>
      </c>
      <c r="L354" t="s">
        <v>27</v>
      </c>
      <c r="M354" t="s">
        <v>22</v>
      </c>
      <c r="N354" t="s">
        <v>51</v>
      </c>
      <c r="O354">
        <f>Table2[[#This Row],[Unit_Cost]]*Table2[[#This Row],[Quantity_Sold]]</f>
        <v>79628.25</v>
      </c>
      <c r="P354">
        <f t="shared" si="5"/>
        <v>-70901.25</v>
      </c>
      <c r="Q354" s="3">
        <f>Table2[[#This Row],[Gross_Profit]]/Table2[[#This Row],[Sales_Amount]]</f>
        <v>-8.1243554486077691</v>
      </c>
      <c r="R354" t="str">
        <f>TEXT(Table2[[#This Row],[Sale_Date]],"mmmm")</f>
        <v>November</v>
      </c>
      <c r="S354" s="4">
        <f>YEAR(Table2[[#This Row],[Sale_Date]])</f>
        <v>2023</v>
      </c>
    </row>
    <row r="355" spans="1:19" x14ac:dyDescent="0.35">
      <c r="A355">
        <v>1097</v>
      </c>
      <c r="B355" s="1">
        <v>45189</v>
      </c>
      <c r="C355" t="s">
        <v>24</v>
      </c>
      <c r="D355" t="s">
        <v>15</v>
      </c>
      <c r="E355">
        <v>6759.76</v>
      </c>
      <c r="F355">
        <v>45</v>
      </c>
      <c r="G355" t="s">
        <v>29</v>
      </c>
      <c r="H355">
        <v>1525.13</v>
      </c>
      <c r="I355">
        <v>1868.32</v>
      </c>
      <c r="J355" t="s">
        <v>17</v>
      </c>
      <c r="K355">
        <v>0.24</v>
      </c>
      <c r="L355" t="s">
        <v>18</v>
      </c>
      <c r="M355" t="s">
        <v>22</v>
      </c>
      <c r="N355" t="s">
        <v>45</v>
      </c>
      <c r="O355">
        <f>Table2[[#This Row],[Unit_Cost]]*Table2[[#This Row],[Quantity_Sold]]</f>
        <v>68630.850000000006</v>
      </c>
      <c r="P355">
        <f t="shared" si="5"/>
        <v>-61871.090000000004</v>
      </c>
      <c r="Q355" s="3">
        <f>Table2[[#This Row],[Gross_Profit]]/Table2[[#This Row],[Sales_Amount]]</f>
        <v>-9.1528530598719477</v>
      </c>
      <c r="R355" t="str">
        <f>TEXT(Table2[[#This Row],[Sale_Date]],"mmmm")</f>
        <v>September</v>
      </c>
      <c r="S355" s="4">
        <f>YEAR(Table2[[#This Row],[Sale_Date]])</f>
        <v>2023</v>
      </c>
    </row>
    <row r="356" spans="1:19" x14ac:dyDescent="0.35">
      <c r="A356">
        <v>1028</v>
      </c>
      <c r="B356" s="1">
        <v>45087</v>
      </c>
      <c r="C356" t="s">
        <v>42</v>
      </c>
      <c r="D356" t="s">
        <v>15</v>
      </c>
      <c r="E356">
        <v>7987.15</v>
      </c>
      <c r="F356">
        <v>2</v>
      </c>
      <c r="G356" t="s">
        <v>16</v>
      </c>
      <c r="H356">
        <v>3146.12</v>
      </c>
      <c r="I356">
        <v>3255.5299999999902</v>
      </c>
      <c r="J356" t="s">
        <v>17</v>
      </c>
      <c r="K356">
        <v>0.06</v>
      </c>
      <c r="L356" t="s">
        <v>27</v>
      </c>
      <c r="M356" t="s">
        <v>19</v>
      </c>
      <c r="N356" t="s">
        <v>49</v>
      </c>
      <c r="O356">
        <f>Table2[[#This Row],[Unit_Cost]]*Table2[[#This Row],[Quantity_Sold]]</f>
        <v>6292.24</v>
      </c>
      <c r="P356">
        <f t="shared" si="5"/>
        <v>1694.9099999999999</v>
      </c>
      <c r="Q356" s="3">
        <f>Table2[[#This Row],[Gross_Profit]]/Table2[[#This Row],[Sales_Amount]]</f>
        <v>0.21220460364460414</v>
      </c>
      <c r="R356" t="str">
        <f>TEXT(Table2[[#This Row],[Sale_Date]],"mmmm")</f>
        <v>June</v>
      </c>
      <c r="S356" s="4">
        <f>YEAR(Table2[[#This Row],[Sale_Date]])</f>
        <v>2023</v>
      </c>
    </row>
    <row r="357" spans="1:19" x14ac:dyDescent="0.35">
      <c r="A357">
        <v>1064</v>
      </c>
      <c r="B357" s="1">
        <v>45077</v>
      </c>
      <c r="C357" t="s">
        <v>24</v>
      </c>
      <c r="D357" t="s">
        <v>25</v>
      </c>
      <c r="E357">
        <v>2579.63</v>
      </c>
      <c r="F357">
        <v>8</v>
      </c>
      <c r="G357" t="s">
        <v>29</v>
      </c>
      <c r="H357">
        <v>816.54</v>
      </c>
      <c r="I357">
        <v>1191.9000000000001</v>
      </c>
      <c r="J357" t="s">
        <v>30</v>
      </c>
      <c r="K357">
        <v>0.03</v>
      </c>
      <c r="L357" t="s">
        <v>18</v>
      </c>
      <c r="M357" t="s">
        <v>22</v>
      </c>
      <c r="N357" t="s">
        <v>28</v>
      </c>
      <c r="O357">
        <f>Table2[[#This Row],[Unit_Cost]]*Table2[[#This Row],[Quantity_Sold]]</f>
        <v>6532.32</v>
      </c>
      <c r="P357">
        <f t="shared" si="5"/>
        <v>-3952.6899999999996</v>
      </c>
      <c r="Q357" s="3">
        <f>Table2[[#This Row],[Gross_Profit]]/Table2[[#This Row],[Sales_Amount]]</f>
        <v>-1.532270131763082</v>
      </c>
      <c r="R357" t="str">
        <f>TEXT(Table2[[#This Row],[Sale_Date]],"mmmm")</f>
        <v>May</v>
      </c>
      <c r="S357" s="4">
        <f>YEAR(Table2[[#This Row],[Sale_Date]])</f>
        <v>2023</v>
      </c>
    </row>
    <row r="358" spans="1:19" x14ac:dyDescent="0.35">
      <c r="A358">
        <v>1097</v>
      </c>
      <c r="B358" s="1">
        <v>45011</v>
      </c>
      <c r="C358" t="s">
        <v>24</v>
      </c>
      <c r="D358" t="s">
        <v>34</v>
      </c>
      <c r="E358">
        <v>6286.25</v>
      </c>
      <c r="F358">
        <v>7</v>
      </c>
      <c r="G358" t="s">
        <v>29</v>
      </c>
      <c r="H358">
        <v>1896.35</v>
      </c>
      <c r="I358">
        <v>2394.1999999999998</v>
      </c>
      <c r="J358" t="s">
        <v>30</v>
      </c>
      <c r="K358">
        <v>0.22</v>
      </c>
      <c r="L358" t="s">
        <v>27</v>
      </c>
      <c r="M358" t="s">
        <v>19</v>
      </c>
      <c r="N358" t="s">
        <v>50</v>
      </c>
      <c r="O358">
        <f>Table2[[#This Row],[Unit_Cost]]*Table2[[#This Row],[Quantity_Sold]]</f>
        <v>13274.449999999999</v>
      </c>
      <c r="P358">
        <f t="shared" si="5"/>
        <v>-6988.1999999999989</v>
      </c>
      <c r="Q358" s="3">
        <f>Table2[[#This Row],[Gross_Profit]]/Table2[[#This Row],[Sales_Amount]]</f>
        <v>-1.1116643467886258</v>
      </c>
      <c r="R358" t="str">
        <f>TEXT(Table2[[#This Row],[Sale_Date]],"mmmm")</f>
        <v>March</v>
      </c>
      <c r="S358" s="4">
        <f>YEAR(Table2[[#This Row],[Sale_Date]])</f>
        <v>2023</v>
      </c>
    </row>
    <row r="359" spans="1:19" x14ac:dyDescent="0.35">
      <c r="A359">
        <v>1069</v>
      </c>
      <c r="B359" s="1">
        <v>45073</v>
      </c>
      <c r="C359" t="s">
        <v>33</v>
      </c>
      <c r="D359" t="s">
        <v>21</v>
      </c>
      <c r="E359">
        <v>5760.29</v>
      </c>
      <c r="F359">
        <v>44</v>
      </c>
      <c r="G359" t="s">
        <v>35</v>
      </c>
      <c r="H359">
        <v>1084.73</v>
      </c>
      <c r="I359">
        <v>1420.9</v>
      </c>
      <c r="J359" t="s">
        <v>17</v>
      </c>
      <c r="K359">
        <v>0.05</v>
      </c>
      <c r="L359" t="s">
        <v>31</v>
      </c>
      <c r="M359" t="s">
        <v>19</v>
      </c>
      <c r="N359" t="s">
        <v>37</v>
      </c>
      <c r="O359">
        <f>Table2[[#This Row],[Unit_Cost]]*Table2[[#This Row],[Quantity_Sold]]</f>
        <v>47728.12</v>
      </c>
      <c r="P359">
        <f t="shared" si="5"/>
        <v>-41967.83</v>
      </c>
      <c r="Q359" s="3">
        <f>Table2[[#This Row],[Gross_Profit]]/Table2[[#This Row],[Sales_Amount]]</f>
        <v>-7.2857147817210599</v>
      </c>
      <c r="R359" t="str">
        <f>TEXT(Table2[[#This Row],[Sale_Date]],"mmmm")</f>
        <v>May</v>
      </c>
      <c r="S359" s="4">
        <f>YEAR(Table2[[#This Row],[Sale_Date]])</f>
        <v>2023</v>
      </c>
    </row>
    <row r="360" spans="1:19" x14ac:dyDescent="0.35">
      <c r="A360">
        <v>1061</v>
      </c>
      <c r="B360" s="1">
        <v>45038</v>
      </c>
      <c r="C360" t="s">
        <v>38</v>
      </c>
      <c r="D360" t="s">
        <v>25</v>
      </c>
      <c r="E360">
        <v>8345.02</v>
      </c>
      <c r="F360">
        <v>39</v>
      </c>
      <c r="G360" t="s">
        <v>35</v>
      </c>
      <c r="H360">
        <v>3494.19</v>
      </c>
      <c r="I360">
        <v>3746</v>
      </c>
      <c r="J360" t="s">
        <v>17</v>
      </c>
      <c r="K360">
        <v>0.25</v>
      </c>
      <c r="L360" t="s">
        <v>27</v>
      </c>
      <c r="M360" t="s">
        <v>22</v>
      </c>
      <c r="N360" t="s">
        <v>39</v>
      </c>
      <c r="O360">
        <f>Table2[[#This Row],[Unit_Cost]]*Table2[[#This Row],[Quantity_Sold]]</f>
        <v>136273.41</v>
      </c>
      <c r="P360">
        <f t="shared" si="5"/>
        <v>-127928.39</v>
      </c>
      <c r="Q360" s="3">
        <f>Table2[[#This Row],[Gross_Profit]]/Table2[[#This Row],[Sales_Amount]]</f>
        <v>-15.329908136828911</v>
      </c>
      <c r="R360" t="str">
        <f>TEXT(Table2[[#This Row],[Sale_Date]],"mmmm")</f>
        <v>April</v>
      </c>
      <c r="S360" s="4">
        <f>YEAR(Table2[[#This Row],[Sale_Date]])</f>
        <v>2023</v>
      </c>
    </row>
    <row r="361" spans="1:19" x14ac:dyDescent="0.35">
      <c r="A361">
        <v>1048</v>
      </c>
      <c r="B361" s="1">
        <v>44962</v>
      </c>
      <c r="C361" t="s">
        <v>24</v>
      </c>
      <c r="D361" t="s">
        <v>15</v>
      </c>
      <c r="E361">
        <v>9070.26</v>
      </c>
      <c r="F361">
        <v>42</v>
      </c>
      <c r="G361" t="s">
        <v>35</v>
      </c>
      <c r="H361">
        <v>4723.83</v>
      </c>
      <c r="I361">
        <v>5186.1899999999996</v>
      </c>
      <c r="J361" t="s">
        <v>17</v>
      </c>
      <c r="K361">
        <v>0.22</v>
      </c>
      <c r="L361" t="s">
        <v>31</v>
      </c>
      <c r="M361" t="s">
        <v>19</v>
      </c>
      <c r="N361" t="s">
        <v>45</v>
      </c>
      <c r="O361">
        <f>Table2[[#This Row],[Unit_Cost]]*Table2[[#This Row],[Quantity_Sold]]</f>
        <v>198400.86</v>
      </c>
      <c r="P361">
        <f t="shared" si="5"/>
        <v>-189330.59999999998</v>
      </c>
      <c r="Q361" s="3">
        <f>Table2[[#This Row],[Gross_Profit]]/Table2[[#This Row],[Sales_Amount]]</f>
        <v>-20.873778700941315</v>
      </c>
      <c r="R361" t="str">
        <f>TEXT(Table2[[#This Row],[Sale_Date]],"mmmm")</f>
        <v>February</v>
      </c>
      <c r="S361" s="4">
        <f>YEAR(Table2[[#This Row],[Sale_Date]])</f>
        <v>2023</v>
      </c>
    </row>
    <row r="362" spans="1:19" x14ac:dyDescent="0.35">
      <c r="A362">
        <v>1019</v>
      </c>
      <c r="B362" s="1">
        <v>45211</v>
      </c>
      <c r="C362" t="s">
        <v>33</v>
      </c>
      <c r="D362" t="s">
        <v>21</v>
      </c>
      <c r="E362">
        <v>220.35</v>
      </c>
      <c r="F362">
        <v>16</v>
      </c>
      <c r="G362" t="s">
        <v>29</v>
      </c>
      <c r="H362">
        <v>4977.78</v>
      </c>
      <c r="I362">
        <v>4995.55</v>
      </c>
      <c r="J362" t="s">
        <v>30</v>
      </c>
      <c r="K362">
        <v>0.25</v>
      </c>
      <c r="L362" t="s">
        <v>31</v>
      </c>
      <c r="M362" t="s">
        <v>19</v>
      </c>
      <c r="N362" t="s">
        <v>37</v>
      </c>
      <c r="O362">
        <f>Table2[[#This Row],[Unit_Cost]]*Table2[[#This Row],[Quantity_Sold]]</f>
        <v>79644.479999999996</v>
      </c>
      <c r="P362">
        <f t="shared" si="5"/>
        <v>-79424.12999999999</v>
      </c>
      <c r="Q362" s="3">
        <f>Table2[[#This Row],[Gross_Profit]]/Table2[[#This Row],[Sales_Amount]]</f>
        <v>-360.44533696392102</v>
      </c>
      <c r="R362" t="str">
        <f>TEXT(Table2[[#This Row],[Sale_Date]],"mmmm")</f>
        <v>October</v>
      </c>
      <c r="S362" s="4">
        <f>YEAR(Table2[[#This Row],[Sale_Date]])</f>
        <v>2023</v>
      </c>
    </row>
    <row r="363" spans="1:19" x14ac:dyDescent="0.35">
      <c r="A363">
        <v>1004</v>
      </c>
      <c r="B363" s="1">
        <v>45114</v>
      </c>
      <c r="C363" t="s">
        <v>38</v>
      </c>
      <c r="D363" t="s">
        <v>15</v>
      </c>
      <c r="E363">
        <v>6772.8</v>
      </c>
      <c r="F363">
        <v>35</v>
      </c>
      <c r="G363" t="s">
        <v>29</v>
      </c>
      <c r="H363">
        <v>2278.87</v>
      </c>
      <c r="I363">
        <v>2646.5299999999902</v>
      </c>
      <c r="J363" t="s">
        <v>17</v>
      </c>
      <c r="K363">
        <v>0.09</v>
      </c>
      <c r="L363" t="s">
        <v>27</v>
      </c>
      <c r="M363" t="s">
        <v>19</v>
      </c>
      <c r="N363" t="s">
        <v>40</v>
      </c>
      <c r="O363">
        <f>Table2[[#This Row],[Unit_Cost]]*Table2[[#This Row],[Quantity_Sold]]</f>
        <v>79760.45</v>
      </c>
      <c r="P363">
        <f t="shared" si="5"/>
        <v>-72987.649999999994</v>
      </c>
      <c r="Q363" s="3">
        <f>Table2[[#This Row],[Gross_Profit]]/Table2[[#This Row],[Sales_Amount]]</f>
        <v>-10.776584278289628</v>
      </c>
      <c r="R363" t="str">
        <f>TEXT(Table2[[#This Row],[Sale_Date]],"mmmm")</f>
        <v>July</v>
      </c>
      <c r="S363" s="4">
        <f>YEAR(Table2[[#This Row],[Sale_Date]])</f>
        <v>2023</v>
      </c>
    </row>
    <row r="364" spans="1:19" x14ac:dyDescent="0.35">
      <c r="A364">
        <v>1035</v>
      </c>
      <c r="B364" s="1">
        <v>45008</v>
      </c>
      <c r="C364" t="s">
        <v>24</v>
      </c>
      <c r="D364" t="s">
        <v>34</v>
      </c>
      <c r="E364">
        <v>613.16999999999996</v>
      </c>
      <c r="F364">
        <v>30</v>
      </c>
      <c r="G364" t="s">
        <v>29</v>
      </c>
      <c r="H364">
        <v>1300.03</v>
      </c>
      <c r="I364">
        <v>1745.52</v>
      </c>
      <c r="J364" t="s">
        <v>30</v>
      </c>
      <c r="K364">
        <v>0.09</v>
      </c>
      <c r="L364" t="s">
        <v>18</v>
      </c>
      <c r="M364" t="s">
        <v>22</v>
      </c>
      <c r="N364" t="s">
        <v>50</v>
      </c>
      <c r="O364">
        <f>Table2[[#This Row],[Unit_Cost]]*Table2[[#This Row],[Quantity_Sold]]</f>
        <v>39000.9</v>
      </c>
      <c r="P364">
        <f t="shared" si="5"/>
        <v>-38387.730000000003</v>
      </c>
      <c r="Q364" s="3">
        <f>Table2[[#This Row],[Gross_Profit]]/Table2[[#This Row],[Sales_Amount]]</f>
        <v>-62.605362297568384</v>
      </c>
      <c r="R364" t="str">
        <f>TEXT(Table2[[#This Row],[Sale_Date]],"mmmm")</f>
        <v>March</v>
      </c>
      <c r="S364" s="4">
        <f>YEAR(Table2[[#This Row],[Sale_Date]])</f>
        <v>2023</v>
      </c>
    </row>
    <row r="365" spans="1:19" x14ac:dyDescent="0.35">
      <c r="A365">
        <v>1064</v>
      </c>
      <c r="B365" s="1">
        <v>44928</v>
      </c>
      <c r="C365" t="s">
        <v>24</v>
      </c>
      <c r="D365" t="s">
        <v>25</v>
      </c>
      <c r="E365">
        <v>5533.7</v>
      </c>
      <c r="F365">
        <v>10</v>
      </c>
      <c r="G365" t="s">
        <v>35</v>
      </c>
      <c r="H365">
        <v>2242.0100000000002</v>
      </c>
      <c r="I365">
        <v>2282.23</v>
      </c>
      <c r="J365" t="s">
        <v>17</v>
      </c>
      <c r="K365">
        <v>0.2</v>
      </c>
      <c r="L365" t="s">
        <v>31</v>
      </c>
      <c r="M365" t="s">
        <v>19</v>
      </c>
      <c r="N365" t="s">
        <v>28</v>
      </c>
      <c r="O365">
        <f>Table2[[#This Row],[Unit_Cost]]*Table2[[#This Row],[Quantity_Sold]]</f>
        <v>22420.100000000002</v>
      </c>
      <c r="P365">
        <f t="shared" si="5"/>
        <v>-16886.400000000001</v>
      </c>
      <c r="Q365" s="3">
        <f>Table2[[#This Row],[Gross_Profit]]/Table2[[#This Row],[Sales_Amount]]</f>
        <v>-3.0515568245477711</v>
      </c>
      <c r="R365" t="str">
        <f>TEXT(Table2[[#This Row],[Sale_Date]],"mmmm")</f>
        <v>January</v>
      </c>
      <c r="S365" s="4">
        <f>YEAR(Table2[[#This Row],[Sale_Date]])</f>
        <v>2023</v>
      </c>
    </row>
    <row r="366" spans="1:19" x14ac:dyDescent="0.35">
      <c r="A366">
        <v>1049</v>
      </c>
      <c r="B366" s="1">
        <v>45229</v>
      </c>
      <c r="C366" t="s">
        <v>42</v>
      </c>
      <c r="D366" t="s">
        <v>34</v>
      </c>
      <c r="E366">
        <v>2947.56</v>
      </c>
      <c r="F366">
        <v>38</v>
      </c>
      <c r="G366" t="s">
        <v>26</v>
      </c>
      <c r="H366">
        <v>4243.9799999999996</v>
      </c>
      <c r="I366">
        <v>4474.5099999999902</v>
      </c>
      <c r="J366" t="s">
        <v>30</v>
      </c>
      <c r="K366">
        <v>0.01</v>
      </c>
      <c r="L366" t="s">
        <v>31</v>
      </c>
      <c r="M366" t="s">
        <v>19</v>
      </c>
      <c r="N366" t="s">
        <v>52</v>
      </c>
      <c r="O366">
        <f>Table2[[#This Row],[Unit_Cost]]*Table2[[#This Row],[Quantity_Sold]]</f>
        <v>161271.24</v>
      </c>
      <c r="P366">
        <f t="shared" si="5"/>
        <v>-158323.68</v>
      </c>
      <c r="Q366" s="3">
        <f>Table2[[#This Row],[Gross_Profit]]/Table2[[#This Row],[Sales_Amount]]</f>
        <v>-53.713471481496562</v>
      </c>
      <c r="R366" t="str">
        <f>TEXT(Table2[[#This Row],[Sale_Date]],"mmmm")</f>
        <v>October</v>
      </c>
      <c r="S366" s="4">
        <f>YEAR(Table2[[#This Row],[Sale_Date]])</f>
        <v>2023</v>
      </c>
    </row>
    <row r="367" spans="1:19" x14ac:dyDescent="0.35">
      <c r="A367">
        <v>1017</v>
      </c>
      <c r="B367" s="1">
        <v>45123</v>
      </c>
      <c r="C367" t="s">
        <v>42</v>
      </c>
      <c r="D367" t="s">
        <v>25</v>
      </c>
      <c r="E367">
        <v>3137.09</v>
      </c>
      <c r="F367">
        <v>18</v>
      </c>
      <c r="G367" t="s">
        <v>16</v>
      </c>
      <c r="H367">
        <v>1069.73</v>
      </c>
      <c r="I367">
        <v>1180.04</v>
      </c>
      <c r="J367" t="s">
        <v>17</v>
      </c>
      <c r="K367">
        <v>0.22</v>
      </c>
      <c r="L367" t="s">
        <v>27</v>
      </c>
      <c r="M367" t="s">
        <v>19</v>
      </c>
      <c r="N367" t="s">
        <v>43</v>
      </c>
      <c r="O367">
        <f>Table2[[#This Row],[Unit_Cost]]*Table2[[#This Row],[Quantity_Sold]]</f>
        <v>19255.14</v>
      </c>
      <c r="P367">
        <f t="shared" si="5"/>
        <v>-16118.05</v>
      </c>
      <c r="Q367" s="3">
        <f>Table2[[#This Row],[Gross_Profit]]/Table2[[#This Row],[Sales_Amount]]</f>
        <v>-5.1378984982898155</v>
      </c>
      <c r="R367" t="str">
        <f>TEXT(Table2[[#This Row],[Sale_Date]],"mmmm")</f>
        <v>July</v>
      </c>
      <c r="S367" s="4">
        <f>YEAR(Table2[[#This Row],[Sale_Date]])</f>
        <v>2023</v>
      </c>
    </row>
    <row r="368" spans="1:19" x14ac:dyDescent="0.35">
      <c r="A368">
        <v>1044</v>
      </c>
      <c r="B368" s="1">
        <v>44937</v>
      </c>
      <c r="C368" t="s">
        <v>38</v>
      </c>
      <c r="D368" t="s">
        <v>15</v>
      </c>
      <c r="E368">
        <v>3594.29</v>
      </c>
      <c r="F368">
        <v>5</v>
      </c>
      <c r="G368" t="s">
        <v>26</v>
      </c>
      <c r="H368">
        <v>4762.87</v>
      </c>
      <c r="I368">
        <v>5050.46</v>
      </c>
      <c r="J368" t="s">
        <v>30</v>
      </c>
      <c r="K368">
        <v>0.25</v>
      </c>
      <c r="L368" t="s">
        <v>18</v>
      </c>
      <c r="M368" t="s">
        <v>22</v>
      </c>
      <c r="N368" t="s">
        <v>40</v>
      </c>
      <c r="O368">
        <f>Table2[[#This Row],[Unit_Cost]]*Table2[[#This Row],[Quantity_Sold]]</f>
        <v>23814.35</v>
      </c>
      <c r="P368">
        <f t="shared" si="5"/>
        <v>-20220.059999999998</v>
      </c>
      <c r="Q368" s="3">
        <f>Table2[[#This Row],[Gross_Profit]]/Table2[[#This Row],[Sales_Amount]]</f>
        <v>-5.6256061697859652</v>
      </c>
      <c r="R368" t="str">
        <f>TEXT(Table2[[#This Row],[Sale_Date]],"mmmm")</f>
        <v>January</v>
      </c>
      <c r="S368" s="4">
        <f>YEAR(Table2[[#This Row],[Sale_Date]])</f>
        <v>2023</v>
      </c>
    </row>
    <row r="369" spans="1:19" x14ac:dyDescent="0.35">
      <c r="A369">
        <v>1092</v>
      </c>
      <c r="B369" s="1">
        <v>45160</v>
      </c>
      <c r="C369" t="s">
        <v>24</v>
      </c>
      <c r="D369" t="s">
        <v>34</v>
      </c>
      <c r="E369">
        <v>6250.8</v>
      </c>
      <c r="F369">
        <v>29</v>
      </c>
      <c r="G369" t="s">
        <v>29</v>
      </c>
      <c r="H369">
        <v>1742.24</v>
      </c>
      <c r="I369">
        <v>2070.52</v>
      </c>
      <c r="J369" t="s">
        <v>30</v>
      </c>
      <c r="K369">
        <v>0.12</v>
      </c>
      <c r="L369" t="s">
        <v>18</v>
      </c>
      <c r="M369" t="s">
        <v>19</v>
      </c>
      <c r="N369" t="s">
        <v>50</v>
      </c>
      <c r="O369">
        <f>Table2[[#This Row],[Unit_Cost]]*Table2[[#This Row],[Quantity_Sold]]</f>
        <v>50524.959999999999</v>
      </c>
      <c r="P369">
        <f t="shared" si="5"/>
        <v>-44274.159999999996</v>
      </c>
      <c r="Q369" s="3">
        <f>Table2[[#This Row],[Gross_Profit]]/Table2[[#This Row],[Sales_Amount]]</f>
        <v>-7.0829589812503988</v>
      </c>
      <c r="R369" t="str">
        <f>TEXT(Table2[[#This Row],[Sale_Date]],"mmmm")</f>
        <v>August</v>
      </c>
      <c r="S369" s="4">
        <f>YEAR(Table2[[#This Row],[Sale_Date]])</f>
        <v>2023</v>
      </c>
    </row>
    <row r="370" spans="1:19" x14ac:dyDescent="0.35">
      <c r="A370">
        <v>1030</v>
      </c>
      <c r="B370" s="1">
        <v>45121</v>
      </c>
      <c r="C370" t="s">
        <v>14</v>
      </c>
      <c r="D370" t="s">
        <v>34</v>
      </c>
      <c r="E370">
        <v>3407.09</v>
      </c>
      <c r="F370">
        <v>39</v>
      </c>
      <c r="G370" t="s">
        <v>29</v>
      </c>
      <c r="H370">
        <v>4929.7299999999996</v>
      </c>
      <c r="I370">
        <v>5088.0199999999904</v>
      </c>
      <c r="J370" t="s">
        <v>30</v>
      </c>
      <c r="K370">
        <v>0.23</v>
      </c>
      <c r="L370" t="s">
        <v>27</v>
      </c>
      <c r="M370" t="s">
        <v>22</v>
      </c>
      <c r="N370" t="s">
        <v>46</v>
      </c>
      <c r="O370">
        <f>Table2[[#This Row],[Unit_Cost]]*Table2[[#This Row],[Quantity_Sold]]</f>
        <v>192259.46999999997</v>
      </c>
      <c r="P370">
        <f t="shared" si="5"/>
        <v>-188852.37999999998</v>
      </c>
      <c r="Q370" s="3">
        <f>Table2[[#This Row],[Gross_Profit]]/Table2[[#This Row],[Sales_Amount]]</f>
        <v>-55.4292313968812</v>
      </c>
      <c r="R370" t="str">
        <f>TEXT(Table2[[#This Row],[Sale_Date]],"mmmm")</f>
        <v>July</v>
      </c>
      <c r="S370" s="4">
        <f>YEAR(Table2[[#This Row],[Sale_Date]])</f>
        <v>2023</v>
      </c>
    </row>
    <row r="371" spans="1:19" x14ac:dyDescent="0.35">
      <c r="A371">
        <v>1093</v>
      </c>
      <c r="B371" s="1">
        <v>45045</v>
      </c>
      <c r="C371" t="s">
        <v>42</v>
      </c>
      <c r="D371" t="s">
        <v>15</v>
      </c>
      <c r="E371">
        <v>7353.72</v>
      </c>
      <c r="F371">
        <v>34</v>
      </c>
      <c r="G371" t="s">
        <v>26</v>
      </c>
      <c r="H371">
        <v>4201.1099999999997</v>
      </c>
      <c r="I371">
        <v>4436.5</v>
      </c>
      <c r="J371" t="s">
        <v>30</v>
      </c>
      <c r="K371">
        <v>0.05</v>
      </c>
      <c r="L371" t="s">
        <v>18</v>
      </c>
      <c r="M371" t="s">
        <v>19</v>
      </c>
      <c r="N371" t="s">
        <v>49</v>
      </c>
      <c r="O371">
        <f>Table2[[#This Row],[Unit_Cost]]*Table2[[#This Row],[Quantity_Sold]]</f>
        <v>142837.74</v>
      </c>
      <c r="P371">
        <f t="shared" si="5"/>
        <v>-135484.01999999999</v>
      </c>
      <c r="Q371" s="3">
        <f>Table2[[#This Row],[Gross_Profit]]/Table2[[#This Row],[Sales_Amount]]</f>
        <v>-18.423875263132128</v>
      </c>
      <c r="R371" t="str">
        <f>TEXT(Table2[[#This Row],[Sale_Date]],"mmmm")</f>
        <v>April</v>
      </c>
      <c r="S371" s="4">
        <f>YEAR(Table2[[#This Row],[Sale_Date]])</f>
        <v>2023</v>
      </c>
    </row>
    <row r="372" spans="1:19" x14ac:dyDescent="0.35">
      <c r="A372">
        <v>1046</v>
      </c>
      <c r="B372" s="1">
        <v>44946</v>
      </c>
      <c r="C372" t="s">
        <v>38</v>
      </c>
      <c r="D372" t="s">
        <v>34</v>
      </c>
      <c r="E372">
        <v>4104.82</v>
      </c>
      <c r="F372">
        <v>43</v>
      </c>
      <c r="G372" t="s">
        <v>29</v>
      </c>
      <c r="H372">
        <v>4052.42</v>
      </c>
      <c r="I372">
        <v>4199.3</v>
      </c>
      <c r="J372" t="s">
        <v>30</v>
      </c>
      <c r="K372">
        <v>0.1</v>
      </c>
      <c r="L372" t="s">
        <v>27</v>
      </c>
      <c r="M372" t="s">
        <v>22</v>
      </c>
      <c r="N372" t="s">
        <v>48</v>
      </c>
      <c r="O372">
        <f>Table2[[#This Row],[Unit_Cost]]*Table2[[#This Row],[Quantity_Sold]]</f>
        <v>174254.06</v>
      </c>
      <c r="P372">
        <f t="shared" si="5"/>
        <v>-170149.24</v>
      </c>
      <c r="Q372" s="3">
        <f>Table2[[#This Row],[Gross_Profit]]/Table2[[#This Row],[Sales_Amount]]</f>
        <v>-41.451084335001291</v>
      </c>
      <c r="R372" t="str">
        <f>TEXT(Table2[[#This Row],[Sale_Date]],"mmmm")</f>
        <v>January</v>
      </c>
      <c r="S372" s="4">
        <f>YEAR(Table2[[#This Row],[Sale_Date]])</f>
        <v>2023</v>
      </c>
    </row>
    <row r="373" spans="1:19" x14ac:dyDescent="0.35">
      <c r="A373">
        <v>1006</v>
      </c>
      <c r="B373" s="1">
        <v>45187</v>
      </c>
      <c r="C373" t="s">
        <v>24</v>
      </c>
      <c r="D373" t="s">
        <v>21</v>
      </c>
      <c r="E373">
        <v>776.7</v>
      </c>
      <c r="F373">
        <v>45</v>
      </c>
      <c r="G373" t="s">
        <v>16</v>
      </c>
      <c r="H373">
        <v>1623.63</v>
      </c>
      <c r="I373">
        <v>1814.63</v>
      </c>
      <c r="J373" t="s">
        <v>30</v>
      </c>
      <c r="K373">
        <v>0.28999999999999998</v>
      </c>
      <c r="L373" t="s">
        <v>27</v>
      </c>
      <c r="M373" t="s">
        <v>22</v>
      </c>
      <c r="N373" t="s">
        <v>47</v>
      </c>
      <c r="O373">
        <f>Table2[[#This Row],[Unit_Cost]]*Table2[[#This Row],[Quantity_Sold]]</f>
        <v>73063.350000000006</v>
      </c>
      <c r="P373">
        <f t="shared" si="5"/>
        <v>-72286.650000000009</v>
      </c>
      <c r="Q373" s="3">
        <f>Table2[[#This Row],[Gross_Profit]]/Table2[[#This Row],[Sales_Amount]]</f>
        <v>-93.068945538818085</v>
      </c>
      <c r="R373" t="str">
        <f>TEXT(Table2[[#This Row],[Sale_Date]],"mmmm")</f>
        <v>September</v>
      </c>
      <c r="S373" s="4">
        <f>YEAR(Table2[[#This Row],[Sale_Date]])</f>
        <v>2023</v>
      </c>
    </row>
    <row r="374" spans="1:19" x14ac:dyDescent="0.35">
      <c r="A374">
        <v>1099</v>
      </c>
      <c r="B374" s="1">
        <v>45219</v>
      </c>
      <c r="C374" t="s">
        <v>24</v>
      </c>
      <c r="D374" t="s">
        <v>25</v>
      </c>
      <c r="E374">
        <v>7859.22</v>
      </c>
      <c r="F374">
        <v>23</v>
      </c>
      <c r="G374" t="s">
        <v>29</v>
      </c>
      <c r="H374">
        <v>93.45</v>
      </c>
      <c r="I374">
        <v>181.62</v>
      </c>
      <c r="J374" t="s">
        <v>17</v>
      </c>
      <c r="K374">
        <v>0.3</v>
      </c>
      <c r="L374" t="s">
        <v>27</v>
      </c>
      <c r="M374" t="s">
        <v>22</v>
      </c>
      <c r="N374" t="s">
        <v>28</v>
      </c>
      <c r="O374">
        <f>Table2[[#This Row],[Unit_Cost]]*Table2[[#This Row],[Quantity_Sold]]</f>
        <v>2149.35</v>
      </c>
      <c r="P374">
        <f t="shared" si="5"/>
        <v>5709.8700000000008</v>
      </c>
      <c r="Q374" s="3">
        <f>Table2[[#This Row],[Gross_Profit]]/Table2[[#This Row],[Sales_Amount]]</f>
        <v>0.72651866215731342</v>
      </c>
      <c r="R374" t="str">
        <f>TEXT(Table2[[#This Row],[Sale_Date]],"mmmm")</f>
        <v>October</v>
      </c>
      <c r="S374" s="4">
        <f>YEAR(Table2[[#This Row],[Sale_Date]])</f>
        <v>2023</v>
      </c>
    </row>
    <row r="375" spans="1:19" x14ac:dyDescent="0.35">
      <c r="A375">
        <v>1037</v>
      </c>
      <c r="B375" s="1">
        <v>45182</v>
      </c>
      <c r="C375" t="s">
        <v>14</v>
      </c>
      <c r="D375" t="s">
        <v>25</v>
      </c>
      <c r="E375">
        <v>2929.01</v>
      </c>
      <c r="F375">
        <v>5</v>
      </c>
      <c r="G375" t="s">
        <v>16</v>
      </c>
      <c r="H375">
        <v>1941.56</v>
      </c>
      <c r="I375">
        <v>2385.48</v>
      </c>
      <c r="J375" t="s">
        <v>17</v>
      </c>
      <c r="K375">
        <v>0.15</v>
      </c>
      <c r="L375" t="s">
        <v>31</v>
      </c>
      <c r="M375" t="s">
        <v>19</v>
      </c>
      <c r="N375" t="s">
        <v>32</v>
      </c>
      <c r="O375">
        <f>Table2[[#This Row],[Unit_Cost]]*Table2[[#This Row],[Quantity_Sold]]</f>
        <v>9707.7999999999993</v>
      </c>
      <c r="P375">
        <f t="shared" si="5"/>
        <v>-6778.7899999999991</v>
      </c>
      <c r="Q375" s="3">
        <f>Table2[[#This Row],[Gross_Profit]]/Table2[[#This Row],[Sales_Amount]]</f>
        <v>-2.3143621906377918</v>
      </c>
      <c r="R375" t="str">
        <f>TEXT(Table2[[#This Row],[Sale_Date]],"mmmm")</f>
        <v>September</v>
      </c>
      <c r="S375" s="4">
        <f>YEAR(Table2[[#This Row],[Sale_Date]])</f>
        <v>2023</v>
      </c>
    </row>
    <row r="376" spans="1:19" x14ac:dyDescent="0.3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c r="O376">
        <f>Table2[[#This Row],[Unit_Cost]]*Table2[[#This Row],[Quantity_Sold]]</f>
        <v>46318.8</v>
      </c>
      <c r="P376">
        <f t="shared" si="5"/>
        <v>-41934.410000000003</v>
      </c>
      <c r="Q376" s="3">
        <f>Table2[[#This Row],[Gross_Profit]]/Table2[[#This Row],[Sales_Amount]]</f>
        <v>-9.5644798934401365</v>
      </c>
      <c r="R376" t="str">
        <f>TEXT(Table2[[#This Row],[Sale_Date]],"mmmm")</f>
        <v>August</v>
      </c>
      <c r="S376" s="4">
        <f>YEAR(Table2[[#This Row],[Sale_Date]])</f>
        <v>2023</v>
      </c>
    </row>
    <row r="377" spans="1:19" x14ac:dyDescent="0.35">
      <c r="A377">
        <v>1093</v>
      </c>
      <c r="B377" s="1">
        <v>45152</v>
      </c>
      <c r="C377" t="s">
        <v>24</v>
      </c>
      <c r="D377" t="s">
        <v>21</v>
      </c>
      <c r="E377">
        <v>6885.89</v>
      </c>
      <c r="F377">
        <v>6</v>
      </c>
      <c r="G377" t="s">
        <v>26</v>
      </c>
      <c r="H377">
        <v>235.12</v>
      </c>
      <c r="I377">
        <v>677.5</v>
      </c>
      <c r="J377" t="s">
        <v>17</v>
      </c>
      <c r="K377">
        <v>0.16</v>
      </c>
      <c r="L377" t="s">
        <v>31</v>
      </c>
      <c r="M377" t="s">
        <v>19</v>
      </c>
      <c r="N377" t="s">
        <v>47</v>
      </c>
      <c r="O377">
        <f>Table2[[#This Row],[Unit_Cost]]*Table2[[#This Row],[Quantity_Sold]]</f>
        <v>1410.72</v>
      </c>
      <c r="P377">
        <f t="shared" si="5"/>
        <v>5475.17</v>
      </c>
      <c r="Q377" s="3">
        <f>Table2[[#This Row],[Gross_Profit]]/Table2[[#This Row],[Sales_Amount]]</f>
        <v>0.79512887949124944</v>
      </c>
      <c r="R377" t="str">
        <f>TEXT(Table2[[#This Row],[Sale_Date]],"mmmm")</f>
        <v>August</v>
      </c>
      <c r="S377" s="4">
        <f>YEAR(Table2[[#This Row],[Sale_Date]])</f>
        <v>2023</v>
      </c>
    </row>
    <row r="378" spans="1:19" x14ac:dyDescent="0.35">
      <c r="A378">
        <v>1046</v>
      </c>
      <c r="B378" s="1">
        <v>44979</v>
      </c>
      <c r="C378" t="s">
        <v>42</v>
      </c>
      <c r="D378" t="s">
        <v>25</v>
      </c>
      <c r="E378">
        <v>3391.32</v>
      </c>
      <c r="F378">
        <v>46</v>
      </c>
      <c r="G378" t="s">
        <v>29</v>
      </c>
      <c r="H378">
        <v>2551.56</v>
      </c>
      <c r="I378">
        <v>2841.68</v>
      </c>
      <c r="J378" t="s">
        <v>30</v>
      </c>
      <c r="K378">
        <v>0.09</v>
      </c>
      <c r="L378" t="s">
        <v>27</v>
      </c>
      <c r="M378" t="s">
        <v>22</v>
      </c>
      <c r="N378" t="s">
        <v>43</v>
      </c>
      <c r="O378">
        <f>Table2[[#This Row],[Unit_Cost]]*Table2[[#This Row],[Quantity_Sold]]</f>
        <v>117371.76</v>
      </c>
      <c r="P378">
        <f t="shared" si="5"/>
        <v>-113980.43999999999</v>
      </c>
      <c r="Q378" s="3">
        <f>Table2[[#This Row],[Gross_Profit]]/Table2[[#This Row],[Sales_Amount]]</f>
        <v>-33.609461802483985</v>
      </c>
      <c r="R378" t="str">
        <f>TEXT(Table2[[#This Row],[Sale_Date]],"mmmm")</f>
        <v>February</v>
      </c>
      <c r="S378" s="4">
        <f>YEAR(Table2[[#This Row],[Sale_Date]])</f>
        <v>2023</v>
      </c>
    </row>
    <row r="379" spans="1:19" x14ac:dyDescent="0.35">
      <c r="A379">
        <v>1053</v>
      </c>
      <c r="B379" s="1">
        <v>45281</v>
      </c>
      <c r="C379" t="s">
        <v>14</v>
      </c>
      <c r="D379" t="s">
        <v>15</v>
      </c>
      <c r="E379">
        <v>660.2</v>
      </c>
      <c r="F379">
        <v>44</v>
      </c>
      <c r="G379" t="s">
        <v>16</v>
      </c>
      <c r="H379">
        <v>2045</v>
      </c>
      <c r="I379">
        <v>2217.5100000000002</v>
      </c>
      <c r="J379" t="s">
        <v>17</v>
      </c>
      <c r="K379">
        <v>0.08</v>
      </c>
      <c r="L379" t="s">
        <v>31</v>
      </c>
      <c r="M379" t="s">
        <v>19</v>
      </c>
      <c r="N379" t="s">
        <v>20</v>
      </c>
      <c r="O379">
        <f>Table2[[#This Row],[Unit_Cost]]*Table2[[#This Row],[Quantity_Sold]]</f>
        <v>89980</v>
      </c>
      <c r="P379">
        <f t="shared" si="5"/>
        <v>-89319.8</v>
      </c>
      <c r="Q379" s="3">
        <f>Table2[[#This Row],[Gross_Profit]]/Table2[[#This Row],[Sales_Amount]]</f>
        <v>-135.29203271735838</v>
      </c>
      <c r="R379" t="str">
        <f>TEXT(Table2[[#This Row],[Sale_Date]],"mmmm")</f>
        <v>December</v>
      </c>
      <c r="S379" s="4">
        <f>YEAR(Table2[[#This Row],[Sale_Date]])</f>
        <v>2023</v>
      </c>
    </row>
    <row r="380" spans="1:19" x14ac:dyDescent="0.35">
      <c r="A380">
        <v>1095</v>
      </c>
      <c r="B380" s="1">
        <v>45268</v>
      </c>
      <c r="C380" t="s">
        <v>38</v>
      </c>
      <c r="D380" t="s">
        <v>34</v>
      </c>
      <c r="E380">
        <v>3801.82</v>
      </c>
      <c r="F380">
        <v>4</v>
      </c>
      <c r="G380" t="s">
        <v>29</v>
      </c>
      <c r="H380">
        <v>3191.05</v>
      </c>
      <c r="I380">
        <v>3555.35</v>
      </c>
      <c r="J380" t="s">
        <v>30</v>
      </c>
      <c r="K380">
        <v>0.28000000000000003</v>
      </c>
      <c r="L380" t="s">
        <v>31</v>
      </c>
      <c r="M380" t="s">
        <v>19</v>
      </c>
      <c r="N380" t="s">
        <v>48</v>
      </c>
      <c r="O380">
        <f>Table2[[#This Row],[Unit_Cost]]*Table2[[#This Row],[Quantity_Sold]]</f>
        <v>12764.2</v>
      </c>
      <c r="P380">
        <f t="shared" si="5"/>
        <v>-8962.380000000001</v>
      </c>
      <c r="Q380" s="3">
        <f>Table2[[#This Row],[Gross_Profit]]/Table2[[#This Row],[Sales_Amount]]</f>
        <v>-2.3573919859435746</v>
      </c>
      <c r="R380" t="str">
        <f>TEXT(Table2[[#This Row],[Sale_Date]],"mmmm")</f>
        <v>December</v>
      </c>
      <c r="S380" s="4">
        <f>YEAR(Table2[[#This Row],[Sale_Date]])</f>
        <v>2023</v>
      </c>
    </row>
    <row r="381" spans="1:19" x14ac:dyDescent="0.35">
      <c r="A381">
        <v>1099</v>
      </c>
      <c r="B381" s="1">
        <v>45290</v>
      </c>
      <c r="C381" t="s">
        <v>14</v>
      </c>
      <c r="D381" t="s">
        <v>21</v>
      </c>
      <c r="E381">
        <v>9450.0400000000009</v>
      </c>
      <c r="F381">
        <v>29</v>
      </c>
      <c r="G381" t="s">
        <v>35</v>
      </c>
      <c r="H381">
        <v>3124.87</v>
      </c>
      <c r="I381">
        <v>3383.67</v>
      </c>
      <c r="J381" t="s">
        <v>30</v>
      </c>
      <c r="K381">
        <v>0.05</v>
      </c>
      <c r="L381" t="s">
        <v>31</v>
      </c>
      <c r="M381" t="s">
        <v>22</v>
      </c>
      <c r="N381" t="s">
        <v>23</v>
      </c>
      <c r="O381">
        <f>Table2[[#This Row],[Unit_Cost]]*Table2[[#This Row],[Quantity_Sold]]</f>
        <v>90621.23</v>
      </c>
      <c r="P381">
        <f t="shared" si="5"/>
        <v>-81171.19</v>
      </c>
      <c r="Q381" s="3">
        <f>Table2[[#This Row],[Gross_Profit]]/Table2[[#This Row],[Sales_Amount]]</f>
        <v>-8.5895075576399673</v>
      </c>
      <c r="R381" t="str">
        <f>TEXT(Table2[[#This Row],[Sale_Date]],"mmmm")</f>
        <v>December</v>
      </c>
      <c r="S381" s="4">
        <f>YEAR(Table2[[#This Row],[Sale_Date]])</f>
        <v>2023</v>
      </c>
    </row>
    <row r="382" spans="1:19" x14ac:dyDescent="0.35">
      <c r="A382">
        <v>1060</v>
      </c>
      <c r="B382" s="1">
        <v>45206</v>
      </c>
      <c r="C382" t="s">
        <v>42</v>
      </c>
      <c r="D382" t="s">
        <v>25</v>
      </c>
      <c r="E382">
        <v>6453.17</v>
      </c>
      <c r="F382">
        <v>23</v>
      </c>
      <c r="G382" t="s">
        <v>35</v>
      </c>
      <c r="H382">
        <v>647.70000000000005</v>
      </c>
      <c r="I382">
        <v>902.26</v>
      </c>
      <c r="J382" t="s">
        <v>30</v>
      </c>
      <c r="K382">
        <v>0.17</v>
      </c>
      <c r="L382" t="s">
        <v>27</v>
      </c>
      <c r="M382" t="s">
        <v>19</v>
      </c>
      <c r="N382" t="s">
        <v>43</v>
      </c>
      <c r="O382">
        <f>Table2[[#This Row],[Unit_Cost]]*Table2[[#This Row],[Quantity_Sold]]</f>
        <v>14897.1</v>
      </c>
      <c r="P382">
        <f t="shared" si="5"/>
        <v>-8443.93</v>
      </c>
      <c r="Q382" s="3">
        <f>Table2[[#This Row],[Gross_Profit]]/Table2[[#This Row],[Sales_Amount]]</f>
        <v>-1.3084933451311527</v>
      </c>
      <c r="R382" t="str">
        <f>TEXT(Table2[[#This Row],[Sale_Date]],"mmmm")</f>
        <v>October</v>
      </c>
      <c r="S382" s="4">
        <f>YEAR(Table2[[#This Row],[Sale_Date]])</f>
        <v>2023</v>
      </c>
    </row>
    <row r="383" spans="1:19" x14ac:dyDescent="0.35">
      <c r="A383">
        <v>1097</v>
      </c>
      <c r="B383" s="1">
        <v>45007</v>
      </c>
      <c r="C383" t="s">
        <v>38</v>
      </c>
      <c r="D383" t="s">
        <v>15</v>
      </c>
      <c r="E383">
        <v>6747.64</v>
      </c>
      <c r="F383">
        <v>6</v>
      </c>
      <c r="G383" t="s">
        <v>35</v>
      </c>
      <c r="H383">
        <v>4885.9799999999996</v>
      </c>
      <c r="I383">
        <v>4949.95</v>
      </c>
      <c r="J383" t="s">
        <v>17</v>
      </c>
      <c r="K383">
        <v>0.17</v>
      </c>
      <c r="L383" t="s">
        <v>27</v>
      </c>
      <c r="M383" t="s">
        <v>19</v>
      </c>
      <c r="N383" t="s">
        <v>40</v>
      </c>
      <c r="O383">
        <f>Table2[[#This Row],[Unit_Cost]]*Table2[[#This Row],[Quantity_Sold]]</f>
        <v>29315.879999999997</v>
      </c>
      <c r="P383">
        <f t="shared" si="5"/>
        <v>-22568.239999999998</v>
      </c>
      <c r="Q383" s="3">
        <f>Table2[[#This Row],[Gross_Profit]]/Table2[[#This Row],[Sales_Amount]]</f>
        <v>-3.3446123385361397</v>
      </c>
      <c r="R383" t="str">
        <f>TEXT(Table2[[#This Row],[Sale_Date]],"mmmm")</f>
        <v>March</v>
      </c>
      <c r="S383" s="4">
        <f>YEAR(Table2[[#This Row],[Sale_Date]])</f>
        <v>2023</v>
      </c>
    </row>
    <row r="384" spans="1:19" x14ac:dyDescent="0.35">
      <c r="A384">
        <v>1063</v>
      </c>
      <c r="B384" s="1">
        <v>45128</v>
      </c>
      <c r="C384" t="s">
        <v>14</v>
      </c>
      <c r="D384" t="s">
        <v>34</v>
      </c>
      <c r="E384">
        <v>6359.59</v>
      </c>
      <c r="F384">
        <v>32</v>
      </c>
      <c r="G384" t="s">
        <v>35</v>
      </c>
      <c r="H384">
        <v>975.31</v>
      </c>
      <c r="I384">
        <v>1176.17</v>
      </c>
      <c r="J384" t="s">
        <v>30</v>
      </c>
      <c r="K384">
        <v>0.22</v>
      </c>
      <c r="L384" t="s">
        <v>27</v>
      </c>
      <c r="M384" t="s">
        <v>22</v>
      </c>
      <c r="N384" t="s">
        <v>46</v>
      </c>
      <c r="O384">
        <f>Table2[[#This Row],[Unit_Cost]]*Table2[[#This Row],[Quantity_Sold]]</f>
        <v>31209.919999999998</v>
      </c>
      <c r="P384">
        <f t="shared" si="5"/>
        <v>-24850.329999999998</v>
      </c>
      <c r="Q384" s="3">
        <f>Table2[[#This Row],[Gross_Profit]]/Table2[[#This Row],[Sales_Amount]]</f>
        <v>-3.9075364921323539</v>
      </c>
      <c r="R384" t="str">
        <f>TEXT(Table2[[#This Row],[Sale_Date]],"mmmm")</f>
        <v>July</v>
      </c>
      <c r="S384" s="4">
        <f>YEAR(Table2[[#This Row],[Sale_Date]])</f>
        <v>2023</v>
      </c>
    </row>
    <row r="385" spans="1:19" x14ac:dyDescent="0.35">
      <c r="A385">
        <v>1085</v>
      </c>
      <c r="B385" s="1">
        <v>45084</v>
      </c>
      <c r="C385" t="s">
        <v>33</v>
      </c>
      <c r="D385" t="s">
        <v>34</v>
      </c>
      <c r="E385">
        <v>2070.02</v>
      </c>
      <c r="F385">
        <v>42</v>
      </c>
      <c r="G385" t="s">
        <v>29</v>
      </c>
      <c r="H385">
        <v>2254.11</v>
      </c>
      <c r="I385">
        <v>2382.23</v>
      </c>
      <c r="J385" t="s">
        <v>17</v>
      </c>
      <c r="K385">
        <v>0.15</v>
      </c>
      <c r="L385" t="s">
        <v>31</v>
      </c>
      <c r="M385" t="s">
        <v>22</v>
      </c>
      <c r="N385" t="s">
        <v>36</v>
      </c>
      <c r="O385">
        <f>Table2[[#This Row],[Unit_Cost]]*Table2[[#This Row],[Quantity_Sold]]</f>
        <v>94672.62000000001</v>
      </c>
      <c r="P385">
        <f t="shared" si="5"/>
        <v>-92602.6</v>
      </c>
      <c r="Q385" s="3">
        <f>Table2[[#This Row],[Gross_Profit]]/Table2[[#This Row],[Sales_Amount]]</f>
        <v>-44.735123332141718</v>
      </c>
      <c r="R385" t="str">
        <f>TEXT(Table2[[#This Row],[Sale_Date]],"mmmm")</f>
        <v>June</v>
      </c>
      <c r="S385" s="4">
        <f>YEAR(Table2[[#This Row],[Sale_Date]])</f>
        <v>2023</v>
      </c>
    </row>
    <row r="386" spans="1:19" x14ac:dyDescent="0.35">
      <c r="A386">
        <v>1032</v>
      </c>
      <c r="B386" s="1">
        <v>45046</v>
      </c>
      <c r="C386" t="s">
        <v>42</v>
      </c>
      <c r="D386" t="s">
        <v>21</v>
      </c>
      <c r="E386">
        <v>4241.51</v>
      </c>
      <c r="F386">
        <v>18</v>
      </c>
      <c r="G386" t="s">
        <v>35</v>
      </c>
      <c r="H386">
        <v>2466.1799999999998</v>
      </c>
      <c r="I386">
        <v>2483.87</v>
      </c>
      <c r="J386" t="s">
        <v>17</v>
      </c>
      <c r="K386">
        <v>0.08</v>
      </c>
      <c r="L386" t="s">
        <v>18</v>
      </c>
      <c r="M386" t="s">
        <v>19</v>
      </c>
      <c r="N386" t="s">
        <v>51</v>
      </c>
      <c r="O386">
        <f>Table2[[#This Row],[Unit_Cost]]*Table2[[#This Row],[Quantity_Sold]]</f>
        <v>44391.24</v>
      </c>
      <c r="P386">
        <f t="shared" ref="P386:P449" si="6">E386-O386</f>
        <v>-40149.729999999996</v>
      </c>
      <c r="Q386" s="3">
        <f>Table2[[#This Row],[Gross_Profit]]/Table2[[#This Row],[Sales_Amount]]</f>
        <v>-9.4659048310625202</v>
      </c>
      <c r="R386" t="str">
        <f>TEXT(Table2[[#This Row],[Sale_Date]],"mmmm")</f>
        <v>April</v>
      </c>
      <c r="S386" s="4">
        <f>YEAR(Table2[[#This Row],[Sale_Date]])</f>
        <v>2023</v>
      </c>
    </row>
    <row r="387" spans="1:19" x14ac:dyDescent="0.35">
      <c r="A387">
        <v>1087</v>
      </c>
      <c r="B387" s="1">
        <v>44985</v>
      </c>
      <c r="C387" t="s">
        <v>42</v>
      </c>
      <c r="D387" t="s">
        <v>21</v>
      </c>
      <c r="E387">
        <v>7534.3</v>
      </c>
      <c r="F387">
        <v>15</v>
      </c>
      <c r="G387" t="s">
        <v>16</v>
      </c>
      <c r="H387">
        <v>4074.66</v>
      </c>
      <c r="I387">
        <v>4261.1099999999997</v>
      </c>
      <c r="J387" t="s">
        <v>17</v>
      </c>
      <c r="K387">
        <v>0.05</v>
      </c>
      <c r="L387" t="s">
        <v>31</v>
      </c>
      <c r="M387" t="s">
        <v>22</v>
      </c>
      <c r="N387" t="s">
        <v>51</v>
      </c>
      <c r="O387">
        <f>Table2[[#This Row],[Unit_Cost]]*Table2[[#This Row],[Quantity_Sold]]</f>
        <v>61119.899999999994</v>
      </c>
      <c r="P387">
        <f t="shared" si="6"/>
        <v>-53585.599999999991</v>
      </c>
      <c r="Q387" s="3">
        <f>Table2[[#This Row],[Gross_Profit]]/Table2[[#This Row],[Sales_Amount]]</f>
        <v>-7.1122201133482861</v>
      </c>
      <c r="R387" t="str">
        <f>TEXT(Table2[[#This Row],[Sale_Date]],"mmmm")</f>
        <v>February</v>
      </c>
      <c r="S387" s="4">
        <f>YEAR(Table2[[#This Row],[Sale_Date]])</f>
        <v>2023</v>
      </c>
    </row>
    <row r="388" spans="1:19" x14ac:dyDescent="0.3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c r="O388">
        <f>Table2[[#This Row],[Unit_Cost]]*Table2[[#This Row],[Quantity_Sold]]</f>
        <v>21647.600000000002</v>
      </c>
      <c r="P388">
        <f t="shared" si="6"/>
        <v>-20544.010000000002</v>
      </c>
      <c r="Q388" s="3">
        <f>Table2[[#This Row],[Gross_Profit]]/Table2[[#This Row],[Sales_Amount]]</f>
        <v>-18.615618119047838</v>
      </c>
      <c r="R388" t="str">
        <f>TEXT(Table2[[#This Row],[Sale_Date]],"mmmm")</f>
        <v>August</v>
      </c>
      <c r="S388" s="4">
        <f>YEAR(Table2[[#This Row],[Sale_Date]])</f>
        <v>2023</v>
      </c>
    </row>
    <row r="389" spans="1:19" x14ac:dyDescent="0.35">
      <c r="A389">
        <v>1067</v>
      </c>
      <c r="B389" s="1">
        <v>45054</v>
      </c>
      <c r="C389" t="s">
        <v>33</v>
      </c>
      <c r="D389" t="s">
        <v>15</v>
      </c>
      <c r="E389">
        <v>2850.74</v>
      </c>
      <c r="F389">
        <v>32</v>
      </c>
      <c r="G389" t="s">
        <v>26</v>
      </c>
      <c r="H389">
        <v>2171.79</v>
      </c>
      <c r="I389">
        <v>2307.64</v>
      </c>
      <c r="J389" t="s">
        <v>17</v>
      </c>
      <c r="K389">
        <v>0.22</v>
      </c>
      <c r="L389" t="s">
        <v>27</v>
      </c>
      <c r="M389" t="s">
        <v>19</v>
      </c>
      <c r="N389" t="s">
        <v>53</v>
      </c>
      <c r="O389">
        <f>Table2[[#This Row],[Unit_Cost]]*Table2[[#This Row],[Quantity_Sold]]</f>
        <v>69497.279999999999</v>
      </c>
      <c r="P389">
        <f t="shared" si="6"/>
        <v>-66646.539999999994</v>
      </c>
      <c r="Q389" s="3">
        <f>Table2[[#This Row],[Gross_Profit]]/Table2[[#This Row],[Sales_Amount]]</f>
        <v>-23.378680623276761</v>
      </c>
      <c r="R389" t="str">
        <f>TEXT(Table2[[#This Row],[Sale_Date]],"mmmm")</f>
        <v>May</v>
      </c>
      <c r="S389" s="4">
        <f>YEAR(Table2[[#This Row],[Sale_Date]])</f>
        <v>2023</v>
      </c>
    </row>
    <row r="390" spans="1:19" x14ac:dyDescent="0.35">
      <c r="A390">
        <v>1018</v>
      </c>
      <c r="B390" s="1">
        <v>45150</v>
      </c>
      <c r="C390" t="s">
        <v>33</v>
      </c>
      <c r="D390" t="s">
        <v>15</v>
      </c>
      <c r="E390">
        <v>2835.56</v>
      </c>
      <c r="F390">
        <v>9</v>
      </c>
      <c r="G390" t="s">
        <v>35</v>
      </c>
      <c r="H390">
        <v>3161.09</v>
      </c>
      <c r="I390">
        <v>3216.42</v>
      </c>
      <c r="J390" t="s">
        <v>30</v>
      </c>
      <c r="K390">
        <v>0.17</v>
      </c>
      <c r="L390" t="s">
        <v>27</v>
      </c>
      <c r="M390" t="s">
        <v>19</v>
      </c>
      <c r="N390" t="s">
        <v>53</v>
      </c>
      <c r="O390">
        <f>Table2[[#This Row],[Unit_Cost]]*Table2[[#This Row],[Quantity_Sold]]</f>
        <v>28449.81</v>
      </c>
      <c r="P390">
        <f t="shared" si="6"/>
        <v>-25614.25</v>
      </c>
      <c r="Q390" s="3">
        <f>Table2[[#This Row],[Gross_Profit]]/Table2[[#This Row],[Sales_Amount]]</f>
        <v>-9.0332244777045805</v>
      </c>
      <c r="R390" t="str">
        <f>TEXT(Table2[[#This Row],[Sale_Date]],"mmmm")</f>
        <v>August</v>
      </c>
      <c r="S390" s="4">
        <f>YEAR(Table2[[#This Row],[Sale_Date]])</f>
        <v>2023</v>
      </c>
    </row>
    <row r="391" spans="1:19" x14ac:dyDescent="0.35">
      <c r="A391">
        <v>1025</v>
      </c>
      <c r="B391" s="1">
        <v>45135</v>
      </c>
      <c r="C391" t="s">
        <v>24</v>
      </c>
      <c r="D391" t="s">
        <v>21</v>
      </c>
      <c r="E391">
        <v>4376.99</v>
      </c>
      <c r="F391">
        <v>37</v>
      </c>
      <c r="G391" t="s">
        <v>35</v>
      </c>
      <c r="H391">
        <v>1115.02</v>
      </c>
      <c r="I391">
        <v>1174.48</v>
      </c>
      <c r="J391" t="s">
        <v>30</v>
      </c>
      <c r="K391">
        <v>0.22</v>
      </c>
      <c r="L391" t="s">
        <v>31</v>
      </c>
      <c r="M391" t="s">
        <v>19</v>
      </c>
      <c r="N391" t="s">
        <v>47</v>
      </c>
      <c r="O391">
        <f>Table2[[#This Row],[Unit_Cost]]*Table2[[#This Row],[Quantity_Sold]]</f>
        <v>41255.74</v>
      </c>
      <c r="P391">
        <f t="shared" si="6"/>
        <v>-36878.75</v>
      </c>
      <c r="Q391" s="3">
        <f>Table2[[#This Row],[Gross_Profit]]/Table2[[#This Row],[Sales_Amount]]</f>
        <v>-8.4255961288465357</v>
      </c>
      <c r="R391" t="str">
        <f>TEXT(Table2[[#This Row],[Sale_Date]],"mmmm")</f>
        <v>July</v>
      </c>
      <c r="S391" s="4">
        <f>YEAR(Table2[[#This Row],[Sale_Date]])</f>
        <v>2023</v>
      </c>
    </row>
    <row r="392" spans="1:19" x14ac:dyDescent="0.35">
      <c r="A392">
        <v>1095</v>
      </c>
      <c r="B392" s="1">
        <v>45041</v>
      </c>
      <c r="C392" t="s">
        <v>14</v>
      </c>
      <c r="D392" t="s">
        <v>25</v>
      </c>
      <c r="E392">
        <v>9805.65</v>
      </c>
      <c r="F392">
        <v>10</v>
      </c>
      <c r="G392" t="s">
        <v>35</v>
      </c>
      <c r="H392">
        <v>3155.97</v>
      </c>
      <c r="I392">
        <v>3263.49</v>
      </c>
      <c r="J392" t="s">
        <v>17</v>
      </c>
      <c r="K392">
        <v>0.04</v>
      </c>
      <c r="L392" t="s">
        <v>31</v>
      </c>
      <c r="M392" t="s">
        <v>19</v>
      </c>
      <c r="N392" t="s">
        <v>32</v>
      </c>
      <c r="O392">
        <f>Table2[[#This Row],[Unit_Cost]]*Table2[[#This Row],[Quantity_Sold]]</f>
        <v>31559.699999999997</v>
      </c>
      <c r="P392">
        <f t="shared" si="6"/>
        <v>-21754.049999999996</v>
      </c>
      <c r="Q392" s="3">
        <f>Table2[[#This Row],[Gross_Profit]]/Table2[[#This Row],[Sales_Amount]]</f>
        <v>-2.2185219745758817</v>
      </c>
      <c r="R392" t="str">
        <f>TEXT(Table2[[#This Row],[Sale_Date]],"mmmm")</f>
        <v>April</v>
      </c>
      <c r="S392" s="4">
        <f>YEAR(Table2[[#This Row],[Sale_Date]])</f>
        <v>2023</v>
      </c>
    </row>
    <row r="393" spans="1:19" x14ac:dyDescent="0.35">
      <c r="A393">
        <v>1054</v>
      </c>
      <c r="B393" s="1">
        <v>45135</v>
      </c>
      <c r="C393" t="s">
        <v>24</v>
      </c>
      <c r="D393" t="s">
        <v>34</v>
      </c>
      <c r="E393">
        <v>768.28</v>
      </c>
      <c r="F393">
        <v>20</v>
      </c>
      <c r="G393" t="s">
        <v>29</v>
      </c>
      <c r="H393">
        <v>4622.1400000000003</v>
      </c>
      <c r="I393">
        <v>5122.07</v>
      </c>
      <c r="J393" t="s">
        <v>30</v>
      </c>
      <c r="K393">
        <v>0.26</v>
      </c>
      <c r="L393" t="s">
        <v>18</v>
      </c>
      <c r="M393" t="s">
        <v>22</v>
      </c>
      <c r="N393" t="s">
        <v>50</v>
      </c>
      <c r="O393">
        <f>Table2[[#This Row],[Unit_Cost]]*Table2[[#This Row],[Quantity_Sold]]</f>
        <v>92442.8</v>
      </c>
      <c r="P393">
        <f t="shared" si="6"/>
        <v>-91674.52</v>
      </c>
      <c r="Q393" s="3">
        <f>Table2[[#This Row],[Gross_Profit]]/Table2[[#This Row],[Sales_Amount]]</f>
        <v>-119.32436091008488</v>
      </c>
      <c r="R393" t="str">
        <f>TEXT(Table2[[#This Row],[Sale_Date]],"mmmm")</f>
        <v>July</v>
      </c>
      <c r="S393" s="4">
        <f>YEAR(Table2[[#This Row],[Sale_Date]])</f>
        <v>2023</v>
      </c>
    </row>
    <row r="394" spans="1:19" x14ac:dyDescent="0.35">
      <c r="A394">
        <v>1058</v>
      </c>
      <c r="B394" s="1">
        <v>44940</v>
      </c>
      <c r="C394" t="s">
        <v>14</v>
      </c>
      <c r="D394" t="s">
        <v>34</v>
      </c>
      <c r="E394">
        <v>5235.1400000000003</v>
      </c>
      <c r="F394">
        <v>6</v>
      </c>
      <c r="G394" t="s">
        <v>26</v>
      </c>
      <c r="H394">
        <v>4987.71</v>
      </c>
      <c r="I394">
        <v>4998.78</v>
      </c>
      <c r="J394" t="s">
        <v>17</v>
      </c>
      <c r="K394">
        <v>0.17</v>
      </c>
      <c r="L394" t="s">
        <v>18</v>
      </c>
      <c r="M394" t="s">
        <v>22</v>
      </c>
      <c r="N394" t="s">
        <v>46</v>
      </c>
      <c r="O394">
        <f>Table2[[#This Row],[Unit_Cost]]*Table2[[#This Row],[Quantity_Sold]]</f>
        <v>29926.260000000002</v>
      </c>
      <c r="P394">
        <f t="shared" si="6"/>
        <v>-24691.120000000003</v>
      </c>
      <c r="Q394" s="3">
        <f>Table2[[#This Row],[Gross_Profit]]/Table2[[#This Row],[Sales_Amount]]</f>
        <v>-4.7164201912460797</v>
      </c>
      <c r="R394" t="str">
        <f>TEXT(Table2[[#This Row],[Sale_Date]],"mmmm")</f>
        <v>January</v>
      </c>
      <c r="S394" s="4">
        <f>YEAR(Table2[[#This Row],[Sale_Date]])</f>
        <v>2023</v>
      </c>
    </row>
    <row r="395" spans="1:19" x14ac:dyDescent="0.35">
      <c r="A395">
        <v>1067</v>
      </c>
      <c r="B395" s="1">
        <v>44935</v>
      </c>
      <c r="C395" t="s">
        <v>33</v>
      </c>
      <c r="D395" t="s">
        <v>15</v>
      </c>
      <c r="E395">
        <v>1875.71</v>
      </c>
      <c r="F395">
        <v>48</v>
      </c>
      <c r="G395" t="s">
        <v>35</v>
      </c>
      <c r="H395">
        <v>210.63</v>
      </c>
      <c r="I395">
        <v>533.57999999999902</v>
      </c>
      <c r="J395" t="s">
        <v>30</v>
      </c>
      <c r="K395">
        <v>0.04</v>
      </c>
      <c r="L395" t="s">
        <v>27</v>
      </c>
      <c r="M395" t="s">
        <v>19</v>
      </c>
      <c r="N395" t="s">
        <v>53</v>
      </c>
      <c r="O395">
        <f>Table2[[#This Row],[Unit_Cost]]*Table2[[#This Row],[Quantity_Sold]]</f>
        <v>10110.24</v>
      </c>
      <c r="P395">
        <f t="shared" si="6"/>
        <v>-8234.5299999999988</v>
      </c>
      <c r="Q395" s="3">
        <f>Table2[[#This Row],[Gross_Profit]]/Table2[[#This Row],[Sales_Amount]]</f>
        <v>-4.390086953740183</v>
      </c>
      <c r="R395" t="str">
        <f>TEXT(Table2[[#This Row],[Sale_Date]],"mmmm")</f>
        <v>January</v>
      </c>
      <c r="S395" s="4">
        <f>YEAR(Table2[[#This Row],[Sale_Date]])</f>
        <v>2023</v>
      </c>
    </row>
    <row r="396" spans="1:19" x14ac:dyDescent="0.3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c r="O396">
        <f>Table2[[#This Row],[Unit_Cost]]*Table2[[#This Row],[Quantity_Sold]]</f>
        <v>3648.4800000000005</v>
      </c>
      <c r="P396">
        <f t="shared" si="6"/>
        <v>6061.22</v>
      </c>
      <c r="Q396" s="3">
        <f>Table2[[#This Row],[Gross_Profit]]/Table2[[#This Row],[Sales_Amount]]</f>
        <v>0.62424379743967373</v>
      </c>
      <c r="R396" t="str">
        <f>TEXT(Table2[[#This Row],[Sale_Date]],"mmmm")</f>
        <v>February</v>
      </c>
      <c r="S396" s="4">
        <f>YEAR(Table2[[#This Row],[Sale_Date]])</f>
        <v>2023</v>
      </c>
    </row>
    <row r="397" spans="1:19" x14ac:dyDescent="0.35">
      <c r="A397">
        <v>1024</v>
      </c>
      <c r="B397" s="1">
        <v>45163</v>
      </c>
      <c r="C397" t="s">
        <v>24</v>
      </c>
      <c r="D397" t="s">
        <v>25</v>
      </c>
      <c r="E397">
        <v>1221.7</v>
      </c>
      <c r="F397">
        <v>42</v>
      </c>
      <c r="G397" t="s">
        <v>35</v>
      </c>
      <c r="H397">
        <v>1586.02</v>
      </c>
      <c r="I397">
        <v>2047.13</v>
      </c>
      <c r="J397" t="s">
        <v>30</v>
      </c>
      <c r="K397">
        <v>0.25</v>
      </c>
      <c r="L397" t="s">
        <v>18</v>
      </c>
      <c r="M397" t="s">
        <v>22</v>
      </c>
      <c r="N397" t="s">
        <v>28</v>
      </c>
      <c r="O397">
        <f>Table2[[#This Row],[Unit_Cost]]*Table2[[#This Row],[Quantity_Sold]]</f>
        <v>66612.84</v>
      </c>
      <c r="P397">
        <f t="shared" si="6"/>
        <v>-65391.14</v>
      </c>
      <c r="Q397" s="3">
        <f>Table2[[#This Row],[Gross_Profit]]/Table2[[#This Row],[Sales_Amount]]</f>
        <v>-53.524711467627071</v>
      </c>
      <c r="R397" t="str">
        <f>TEXT(Table2[[#This Row],[Sale_Date]],"mmmm")</f>
        <v>August</v>
      </c>
      <c r="S397" s="4">
        <f>YEAR(Table2[[#This Row],[Sale_Date]])</f>
        <v>2023</v>
      </c>
    </row>
    <row r="398" spans="1:19" x14ac:dyDescent="0.35">
      <c r="A398">
        <v>1032</v>
      </c>
      <c r="B398" s="1">
        <v>45207</v>
      </c>
      <c r="C398" t="s">
        <v>38</v>
      </c>
      <c r="D398" t="s">
        <v>34</v>
      </c>
      <c r="E398">
        <v>4095.65</v>
      </c>
      <c r="F398">
        <v>11</v>
      </c>
      <c r="G398" t="s">
        <v>26</v>
      </c>
      <c r="H398">
        <v>2025.67</v>
      </c>
      <c r="I398">
        <v>2081.5500000000002</v>
      </c>
      <c r="J398" t="s">
        <v>30</v>
      </c>
      <c r="K398">
        <v>0.27</v>
      </c>
      <c r="L398" t="s">
        <v>27</v>
      </c>
      <c r="M398" t="s">
        <v>19</v>
      </c>
      <c r="N398" t="s">
        <v>48</v>
      </c>
      <c r="O398">
        <f>Table2[[#This Row],[Unit_Cost]]*Table2[[#This Row],[Quantity_Sold]]</f>
        <v>22282.370000000003</v>
      </c>
      <c r="P398">
        <f t="shared" si="6"/>
        <v>-18186.72</v>
      </c>
      <c r="Q398" s="3">
        <f>Table2[[#This Row],[Gross_Profit]]/Table2[[#This Row],[Sales_Amount]]</f>
        <v>-4.4404966244674231</v>
      </c>
      <c r="R398" t="str">
        <f>TEXT(Table2[[#This Row],[Sale_Date]],"mmmm")</f>
        <v>October</v>
      </c>
      <c r="S398" s="4">
        <f>YEAR(Table2[[#This Row],[Sale_Date]])</f>
        <v>2023</v>
      </c>
    </row>
    <row r="399" spans="1:19" x14ac:dyDescent="0.35">
      <c r="A399">
        <v>1047</v>
      </c>
      <c r="B399" s="1">
        <v>45285</v>
      </c>
      <c r="C399" t="s">
        <v>24</v>
      </c>
      <c r="D399" t="s">
        <v>15</v>
      </c>
      <c r="E399">
        <v>7405.06</v>
      </c>
      <c r="F399">
        <v>43</v>
      </c>
      <c r="G399" t="s">
        <v>35</v>
      </c>
      <c r="H399">
        <v>1249.17</v>
      </c>
      <c r="I399">
        <v>1727.15</v>
      </c>
      <c r="J399" t="s">
        <v>30</v>
      </c>
      <c r="K399">
        <v>0.08</v>
      </c>
      <c r="L399" t="s">
        <v>18</v>
      </c>
      <c r="M399" t="s">
        <v>22</v>
      </c>
      <c r="N399" t="s">
        <v>45</v>
      </c>
      <c r="O399">
        <f>Table2[[#This Row],[Unit_Cost]]*Table2[[#This Row],[Quantity_Sold]]</f>
        <v>53714.310000000005</v>
      </c>
      <c r="P399">
        <f t="shared" si="6"/>
        <v>-46309.250000000007</v>
      </c>
      <c r="Q399" s="3">
        <f>Table2[[#This Row],[Gross_Profit]]/Table2[[#This Row],[Sales_Amount]]</f>
        <v>-6.253730557213582</v>
      </c>
      <c r="R399" t="str">
        <f>TEXT(Table2[[#This Row],[Sale_Date]],"mmmm")</f>
        <v>December</v>
      </c>
      <c r="S399" s="4">
        <f>YEAR(Table2[[#This Row],[Sale_Date]])</f>
        <v>2023</v>
      </c>
    </row>
    <row r="400" spans="1:19" x14ac:dyDescent="0.35">
      <c r="A400">
        <v>1086</v>
      </c>
      <c r="B400" s="1">
        <v>45127</v>
      </c>
      <c r="C400" t="s">
        <v>14</v>
      </c>
      <c r="D400" t="s">
        <v>15</v>
      </c>
      <c r="E400">
        <v>7075.09</v>
      </c>
      <c r="F400">
        <v>17</v>
      </c>
      <c r="G400" t="s">
        <v>26</v>
      </c>
      <c r="H400">
        <v>1057.27</v>
      </c>
      <c r="I400">
        <v>1366.62</v>
      </c>
      <c r="J400" t="s">
        <v>30</v>
      </c>
      <c r="K400">
        <v>0.21</v>
      </c>
      <c r="L400" t="s">
        <v>31</v>
      </c>
      <c r="M400" t="s">
        <v>22</v>
      </c>
      <c r="N400" t="s">
        <v>20</v>
      </c>
      <c r="O400">
        <f>Table2[[#This Row],[Unit_Cost]]*Table2[[#This Row],[Quantity_Sold]]</f>
        <v>17973.59</v>
      </c>
      <c r="P400">
        <f t="shared" si="6"/>
        <v>-10898.5</v>
      </c>
      <c r="Q400" s="3">
        <f>Table2[[#This Row],[Gross_Profit]]/Table2[[#This Row],[Sales_Amount]]</f>
        <v>-1.5404044330178133</v>
      </c>
      <c r="R400" t="str">
        <f>TEXT(Table2[[#This Row],[Sale_Date]],"mmmm")</f>
        <v>July</v>
      </c>
      <c r="S400" s="4">
        <f>YEAR(Table2[[#This Row],[Sale_Date]])</f>
        <v>2023</v>
      </c>
    </row>
    <row r="401" spans="1:19" x14ac:dyDescent="0.35">
      <c r="A401">
        <v>1023</v>
      </c>
      <c r="B401" s="1">
        <v>45172</v>
      </c>
      <c r="C401" t="s">
        <v>24</v>
      </c>
      <c r="D401" t="s">
        <v>25</v>
      </c>
      <c r="E401">
        <v>4285.01</v>
      </c>
      <c r="F401">
        <v>32</v>
      </c>
      <c r="G401" t="s">
        <v>35</v>
      </c>
      <c r="H401">
        <v>4775.04</v>
      </c>
      <c r="I401">
        <v>4785.66</v>
      </c>
      <c r="J401" t="s">
        <v>30</v>
      </c>
      <c r="K401">
        <v>0.03</v>
      </c>
      <c r="L401" t="s">
        <v>18</v>
      </c>
      <c r="M401" t="s">
        <v>19</v>
      </c>
      <c r="N401" t="s">
        <v>28</v>
      </c>
      <c r="O401">
        <f>Table2[[#This Row],[Unit_Cost]]*Table2[[#This Row],[Quantity_Sold]]</f>
        <v>152801.28</v>
      </c>
      <c r="P401">
        <f t="shared" si="6"/>
        <v>-148516.26999999999</v>
      </c>
      <c r="Q401" s="3">
        <f>Table2[[#This Row],[Gross_Profit]]/Table2[[#This Row],[Sales_Amount]]</f>
        <v>-34.659492043192429</v>
      </c>
      <c r="R401" t="str">
        <f>TEXT(Table2[[#This Row],[Sale_Date]],"mmmm")</f>
        <v>September</v>
      </c>
      <c r="S401" s="4">
        <f>YEAR(Table2[[#This Row],[Sale_Date]])</f>
        <v>2023</v>
      </c>
    </row>
    <row r="402" spans="1:19" x14ac:dyDescent="0.35">
      <c r="A402">
        <v>1066</v>
      </c>
      <c r="B402" s="1">
        <v>45204</v>
      </c>
      <c r="C402" t="s">
        <v>42</v>
      </c>
      <c r="D402" t="s">
        <v>25</v>
      </c>
      <c r="E402">
        <v>3530.59</v>
      </c>
      <c r="F402">
        <v>4</v>
      </c>
      <c r="G402" t="s">
        <v>16</v>
      </c>
      <c r="H402">
        <v>4596.68</v>
      </c>
      <c r="I402">
        <v>5044.74</v>
      </c>
      <c r="J402" t="s">
        <v>30</v>
      </c>
      <c r="K402">
        <v>0.01</v>
      </c>
      <c r="L402" t="s">
        <v>27</v>
      </c>
      <c r="M402" t="s">
        <v>19</v>
      </c>
      <c r="N402" t="s">
        <v>43</v>
      </c>
      <c r="O402">
        <f>Table2[[#This Row],[Unit_Cost]]*Table2[[#This Row],[Quantity_Sold]]</f>
        <v>18386.72</v>
      </c>
      <c r="P402">
        <f t="shared" si="6"/>
        <v>-14856.130000000001</v>
      </c>
      <c r="Q402" s="3">
        <f>Table2[[#This Row],[Gross_Profit]]/Table2[[#This Row],[Sales_Amount]]</f>
        <v>-4.2078321187110372</v>
      </c>
      <c r="R402" t="str">
        <f>TEXT(Table2[[#This Row],[Sale_Date]],"mmmm")</f>
        <v>October</v>
      </c>
      <c r="S402" s="4">
        <f>YEAR(Table2[[#This Row],[Sale_Date]])</f>
        <v>2023</v>
      </c>
    </row>
    <row r="403" spans="1:19" x14ac:dyDescent="0.35">
      <c r="A403">
        <v>1027</v>
      </c>
      <c r="B403" s="1">
        <v>45161</v>
      </c>
      <c r="C403" t="s">
        <v>14</v>
      </c>
      <c r="D403" t="s">
        <v>34</v>
      </c>
      <c r="E403">
        <v>4036.36</v>
      </c>
      <c r="F403">
        <v>4</v>
      </c>
      <c r="G403" t="s">
        <v>35</v>
      </c>
      <c r="H403">
        <v>282.61</v>
      </c>
      <c r="I403">
        <v>548.25</v>
      </c>
      <c r="J403" t="s">
        <v>30</v>
      </c>
      <c r="K403">
        <v>0.17</v>
      </c>
      <c r="L403" t="s">
        <v>31</v>
      </c>
      <c r="M403" t="s">
        <v>19</v>
      </c>
      <c r="N403" t="s">
        <v>46</v>
      </c>
      <c r="O403">
        <f>Table2[[#This Row],[Unit_Cost]]*Table2[[#This Row],[Quantity_Sold]]</f>
        <v>1130.44</v>
      </c>
      <c r="P403">
        <f t="shared" si="6"/>
        <v>2905.92</v>
      </c>
      <c r="Q403" s="3">
        <f>Table2[[#This Row],[Gross_Profit]]/Table2[[#This Row],[Sales_Amount]]</f>
        <v>0.71993578372593126</v>
      </c>
      <c r="R403" t="str">
        <f>TEXT(Table2[[#This Row],[Sale_Date]],"mmmm")</f>
        <v>August</v>
      </c>
      <c r="S403" s="4">
        <f>YEAR(Table2[[#This Row],[Sale_Date]])</f>
        <v>2023</v>
      </c>
    </row>
    <row r="404" spans="1:19" x14ac:dyDescent="0.35">
      <c r="A404">
        <v>1002</v>
      </c>
      <c r="B404" s="1">
        <v>44930</v>
      </c>
      <c r="C404" t="s">
        <v>14</v>
      </c>
      <c r="D404" t="s">
        <v>34</v>
      </c>
      <c r="E404">
        <v>2716.34</v>
      </c>
      <c r="F404">
        <v>17</v>
      </c>
      <c r="G404" t="s">
        <v>16</v>
      </c>
      <c r="H404">
        <v>1727.12</v>
      </c>
      <c r="I404">
        <v>1865.83</v>
      </c>
      <c r="J404" t="s">
        <v>30</v>
      </c>
      <c r="K404">
        <v>0.21</v>
      </c>
      <c r="L404" t="s">
        <v>18</v>
      </c>
      <c r="M404" t="s">
        <v>19</v>
      </c>
      <c r="N404" t="s">
        <v>46</v>
      </c>
      <c r="O404">
        <f>Table2[[#This Row],[Unit_Cost]]*Table2[[#This Row],[Quantity_Sold]]</f>
        <v>29361.039999999997</v>
      </c>
      <c r="P404">
        <f t="shared" si="6"/>
        <v>-26644.699999999997</v>
      </c>
      <c r="Q404" s="3">
        <f>Table2[[#This Row],[Gross_Profit]]/Table2[[#This Row],[Sales_Amount]]</f>
        <v>-9.8090445231451131</v>
      </c>
      <c r="R404" t="str">
        <f>TEXT(Table2[[#This Row],[Sale_Date]],"mmmm")</f>
        <v>January</v>
      </c>
      <c r="S404" s="4">
        <f>YEAR(Table2[[#This Row],[Sale_Date]])</f>
        <v>2023</v>
      </c>
    </row>
    <row r="405" spans="1:19" x14ac:dyDescent="0.35">
      <c r="A405">
        <v>1090</v>
      </c>
      <c r="B405" s="1">
        <v>45080</v>
      </c>
      <c r="C405" t="s">
        <v>38</v>
      </c>
      <c r="D405" t="s">
        <v>15</v>
      </c>
      <c r="E405">
        <v>2132.8000000000002</v>
      </c>
      <c r="F405">
        <v>41</v>
      </c>
      <c r="G405" t="s">
        <v>16</v>
      </c>
      <c r="H405">
        <v>2055.4899999999998</v>
      </c>
      <c r="I405">
        <v>2441.46</v>
      </c>
      <c r="J405" t="s">
        <v>30</v>
      </c>
      <c r="K405">
        <v>0.24</v>
      </c>
      <c r="L405" t="s">
        <v>31</v>
      </c>
      <c r="M405" t="s">
        <v>19</v>
      </c>
      <c r="N405" t="s">
        <v>40</v>
      </c>
      <c r="O405">
        <f>Table2[[#This Row],[Unit_Cost]]*Table2[[#This Row],[Quantity_Sold]]</f>
        <v>84275.09</v>
      </c>
      <c r="P405">
        <f t="shared" si="6"/>
        <v>-82142.289999999994</v>
      </c>
      <c r="Q405" s="3">
        <f>Table2[[#This Row],[Gross_Profit]]/Table2[[#This Row],[Sales_Amount]]</f>
        <v>-38.513826894223548</v>
      </c>
      <c r="R405" t="str">
        <f>TEXT(Table2[[#This Row],[Sale_Date]],"mmmm")</f>
        <v>June</v>
      </c>
      <c r="S405" s="4">
        <f>YEAR(Table2[[#This Row],[Sale_Date]])</f>
        <v>2023</v>
      </c>
    </row>
    <row r="406" spans="1:19" x14ac:dyDescent="0.35">
      <c r="A406">
        <v>1017</v>
      </c>
      <c r="B406" s="1">
        <v>44955</v>
      </c>
      <c r="C406" t="s">
        <v>33</v>
      </c>
      <c r="D406" t="s">
        <v>25</v>
      </c>
      <c r="E406">
        <v>4882.09</v>
      </c>
      <c r="F406">
        <v>19</v>
      </c>
      <c r="G406" t="s">
        <v>35</v>
      </c>
      <c r="H406">
        <v>1233.1199999999999</v>
      </c>
      <c r="I406">
        <v>1697.1899999999901</v>
      </c>
      <c r="J406" t="s">
        <v>30</v>
      </c>
      <c r="K406">
        <v>0.1</v>
      </c>
      <c r="L406" t="s">
        <v>31</v>
      </c>
      <c r="M406" t="s">
        <v>19</v>
      </c>
      <c r="N406" t="s">
        <v>44</v>
      </c>
      <c r="O406">
        <f>Table2[[#This Row],[Unit_Cost]]*Table2[[#This Row],[Quantity_Sold]]</f>
        <v>23429.279999999999</v>
      </c>
      <c r="P406">
        <f t="shared" si="6"/>
        <v>-18547.189999999999</v>
      </c>
      <c r="Q406" s="3">
        <f>Table2[[#This Row],[Gross_Profit]]/Table2[[#This Row],[Sales_Amount]]</f>
        <v>-3.7990266463748106</v>
      </c>
      <c r="R406" t="str">
        <f>TEXT(Table2[[#This Row],[Sale_Date]],"mmmm")</f>
        <v>January</v>
      </c>
      <c r="S406" s="4">
        <f>YEAR(Table2[[#This Row],[Sale_Date]])</f>
        <v>2023</v>
      </c>
    </row>
    <row r="407" spans="1:19" x14ac:dyDescent="0.35">
      <c r="A407">
        <v>1033</v>
      </c>
      <c r="B407" s="1">
        <v>45035</v>
      </c>
      <c r="C407" t="s">
        <v>14</v>
      </c>
      <c r="D407" t="s">
        <v>25</v>
      </c>
      <c r="E407">
        <v>2758.48</v>
      </c>
      <c r="F407">
        <v>5</v>
      </c>
      <c r="G407" t="s">
        <v>16</v>
      </c>
      <c r="H407">
        <v>3162.92</v>
      </c>
      <c r="I407">
        <v>3409.93</v>
      </c>
      <c r="J407" t="s">
        <v>30</v>
      </c>
      <c r="K407">
        <v>0</v>
      </c>
      <c r="L407" t="s">
        <v>18</v>
      </c>
      <c r="M407" t="s">
        <v>19</v>
      </c>
      <c r="N407" t="s">
        <v>32</v>
      </c>
      <c r="O407">
        <f>Table2[[#This Row],[Unit_Cost]]*Table2[[#This Row],[Quantity_Sold]]</f>
        <v>15814.6</v>
      </c>
      <c r="P407">
        <f t="shared" si="6"/>
        <v>-13056.12</v>
      </c>
      <c r="Q407" s="3">
        <f>Table2[[#This Row],[Gross_Profit]]/Table2[[#This Row],[Sales_Amount]]</f>
        <v>-4.7330848873292544</v>
      </c>
      <c r="R407" t="str">
        <f>TEXT(Table2[[#This Row],[Sale_Date]],"mmmm")</f>
        <v>April</v>
      </c>
      <c r="S407" s="4">
        <f>YEAR(Table2[[#This Row],[Sale_Date]])</f>
        <v>2023</v>
      </c>
    </row>
    <row r="408" spans="1:19" x14ac:dyDescent="0.35">
      <c r="A408">
        <v>1009</v>
      </c>
      <c r="B408" s="1">
        <v>45024</v>
      </c>
      <c r="C408" t="s">
        <v>33</v>
      </c>
      <c r="D408" t="s">
        <v>25</v>
      </c>
      <c r="E408">
        <v>2945.87</v>
      </c>
      <c r="F408">
        <v>32</v>
      </c>
      <c r="G408" t="s">
        <v>29</v>
      </c>
      <c r="H408">
        <v>3219.88</v>
      </c>
      <c r="I408">
        <v>3384.5</v>
      </c>
      <c r="J408" t="s">
        <v>17</v>
      </c>
      <c r="K408">
        <v>0.14000000000000001</v>
      </c>
      <c r="L408" t="s">
        <v>18</v>
      </c>
      <c r="M408" t="s">
        <v>22</v>
      </c>
      <c r="N408" t="s">
        <v>44</v>
      </c>
      <c r="O408">
        <f>Table2[[#This Row],[Unit_Cost]]*Table2[[#This Row],[Quantity_Sold]]</f>
        <v>103036.16</v>
      </c>
      <c r="P408">
        <f t="shared" si="6"/>
        <v>-100090.29000000001</v>
      </c>
      <c r="Q408" s="3">
        <f>Table2[[#This Row],[Gross_Profit]]/Table2[[#This Row],[Sales_Amount]]</f>
        <v>-33.976478934915669</v>
      </c>
      <c r="R408" t="str">
        <f>TEXT(Table2[[#This Row],[Sale_Date]],"mmmm")</f>
        <v>April</v>
      </c>
      <c r="S408" s="4">
        <f>YEAR(Table2[[#This Row],[Sale_Date]])</f>
        <v>2023</v>
      </c>
    </row>
    <row r="409" spans="1:19" x14ac:dyDescent="0.35">
      <c r="A409">
        <v>1043</v>
      </c>
      <c r="B409" s="1">
        <v>45141</v>
      </c>
      <c r="C409" t="s">
        <v>24</v>
      </c>
      <c r="D409" t="s">
        <v>34</v>
      </c>
      <c r="E409">
        <v>6601.89</v>
      </c>
      <c r="F409">
        <v>22</v>
      </c>
      <c r="G409" t="s">
        <v>35</v>
      </c>
      <c r="H409">
        <v>4260</v>
      </c>
      <c r="I409">
        <v>4656.58</v>
      </c>
      <c r="J409" t="s">
        <v>30</v>
      </c>
      <c r="K409">
        <v>0</v>
      </c>
      <c r="L409" t="s">
        <v>27</v>
      </c>
      <c r="M409" t="s">
        <v>19</v>
      </c>
      <c r="N409" t="s">
        <v>50</v>
      </c>
      <c r="O409">
        <f>Table2[[#This Row],[Unit_Cost]]*Table2[[#This Row],[Quantity_Sold]]</f>
        <v>93720</v>
      </c>
      <c r="P409">
        <f t="shared" si="6"/>
        <v>-87118.11</v>
      </c>
      <c r="Q409" s="3">
        <f>Table2[[#This Row],[Gross_Profit]]/Table2[[#This Row],[Sales_Amount]]</f>
        <v>-13.195934800488951</v>
      </c>
      <c r="R409" t="str">
        <f>TEXT(Table2[[#This Row],[Sale_Date]],"mmmm")</f>
        <v>August</v>
      </c>
      <c r="S409" s="4">
        <f>YEAR(Table2[[#This Row],[Sale_Date]])</f>
        <v>2023</v>
      </c>
    </row>
    <row r="410" spans="1:19" x14ac:dyDescent="0.35">
      <c r="A410">
        <v>1048</v>
      </c>
      <c r="B410" s="1">
        <v>45219</v>
      </c>
      <c r="C410" t="s">
        <v>42</v>
      </c>
      <c r="D410" t="s">
        <v>25</v>
      </c>
      <c r="E410">
        <v>9688.52</v>
      </c>
      <c r="F410">
        <v>6</v>
      </c>
      <c r="G410" t="s">
        <v>35</v>
      </c>
      <c r="H410">
        <v>3717.3</v>
      </c>
      <c r="I410">
        <v>4061.37</v>
      </c>
      <c r="J410" t="s">
        <v>30</v>
      </c>
      <c r="K410">
        <v>0.03</v>
      </c>
      <c r="L410" t="s">
        <v>27</v>
      </c>
      <c r="M410" t="s">
        <v>22</v>
      </c>
      <c r="N410" t="s">
        <v>43</v>
      </c>
      <c r="O410">
        <f>Table2[[#This Row],[Unit_Cost]]*Table2[[#This Row],[Quantity_Sold]]</f>
        <v>22303.800000000003</v>
      </c>
      <c r="P410">
        <f t="shared" si="6"/>
        <v>-12615.280000000002</v>
      </c>
      <c r="Q410" s="3">
        <f>Table2[[#This Row],[Gross_Profit]]/Table2[[#This Row],[Sales_Amount]]</f>
        <v>-1.3020853546258873</v>
      </c>
      <c r="R410" t="str">
        <f>TEXT(Table2[[#This Row],[Sale_Date]],"mmmm")</f>
        <v>October</v>
      </c>
      <c r="S410" s="4">
        <f>YEAR(Table2[[#This Row],[Sale_Date]])</f>
        <v>2023</v>
      </c>
    </row>
    <row r="411" spans="1:19" x14ac:dyDescent="0.35">
      <c r="A411">
        <v>1039</v>
      </c>
      <c r="B411" s="1">
        <v>45001</v>
      </c>
      <c r="C411" t="s">
        <v>38</v>
      </c>
      <c r="D411" t="s">
        <v>15</v>
      </c>
      <c r="E411">
        <v>6076.01</v>
      </c>
      <c r="F411">
        <v>35</v>
      </c>
      <c r="G411" t="s">
        <v>16</v>
      </c>
      <c r="H411">
        <v>2735.74</v>
      </c>
      <c r="I411">
        <v>3181.22999999999</v>
      </c>
      <c r="J411" t="s">
        <v>30</v>
      </c>
      <c r="K411">
        <v>0.1</v>
      </c>
      <c r="L411" t="s">
        <v>31</v>
      </c>
      <c r="M411" t="s">
        <v>22</v>
      </c>
      <c r="N411" t="s">
        <v>40</v>
      </c>
      <c r="O411">
        <f>Table2[[#This Row],[Unit_Cost]]*Table2[[#This Row],[Quantity_Sold]]</f>
        <v>95750.9</v>
      </c>
      <c r="P411">
        <f t="shared" si="6"/>
        <v>-89674.89</v>
      </c>
      <c r="Q411" s="3">
        <f>Table2[[#This Row],[Gross_Profit]]/Table2[[#This Row],[Sales_Amount]]</f>
        <v>-14.758845031525622</v>
      </c>
      <c r="R411" t="str">
        <f>TEXT(Table2[[#This Row],[Sale_Date]],"mmmm")</f>
        <v>March</v>
      </c>
      <c r="S411" s="4">
        <f>YEAR(Table2[[#This Row],[Sale_Date]])</f>
        <v>2023</v>
      </c>
    </row>
    <row r="412" spans="1:19" x14ac:dyDescent="0.35">
      <c r="A412">
        <v>1093</v>
      </c>
      <c r="B412" s="1">
        <v>45252</v>
      </c>
      <c r="C412" t="s">
        <v>33</v>
      </c>
      <c r="D412" t="s">
        <v>15</v>
      </c>
      <c r="E412">
        <v>862.1</v>
      </c>
      <c r="F412">
        <v>22</v>
      </c>
      <c r="G412" t="s">
        <v>16</v>
      </c>
      <c r="H412">
        <v>3285.25</v>
      </c>
      <c r="I412">
        <v>3634.58</v>
      </c>
      <c r="J412" t="s">
        <v>30</v>
      </c>
      <c r="K412">
        <v>0.13</v>
      </c>
      <c r="L412" t="s">
        <v>27</v>
      </c>
      <c r="M412" t="s">
        <v>19</v>
      </c>
      <c r="N412" t="s">
        <v>53</v>
      </c>
      <c r="O412">
        <f>Table2[[#This Row],[Unit_Cost]]*Table2[[#This Row],[Quantity_Sold]]</f>
        <v>72275.5</v>
      </c>
      <c r="P412">
        <f t="shared" si="6"/>
        <v>-71413.399999999994</v>
      </c>
      <c r="Q412" s="3">
        <f>Table2[[#This Row],[Gross_Profit]]/Table2[[#This Row],[Sales_Amount]]</f>
        <v>-82.836561883772177</v>
      </c>
      <c r="R412" t="str">
        <f>TEXT(Table2[[#This Row],[Sale_Date]],"mmmm")</f>
        <v>November</v>
      </c>
      <c r="S412" s="4">
        <f>YEAR(Table2[[#This Row],[Sale_Date]])</f>
        <v>2023</v>
      </c>
    </row>
    <row r="413" spans="1:19" x14ac:dyDescent="0.35">
      <c r="A413">
        <v>1042</v>
      </c>
      <c r="B413" s="1">
        <v>45072</v>
      </c>
      <c r="C413" t="s">
        <v>14</v>
      </c>
      <c r="D413" t="s">
        <v>34</v>
      </c>
      <c r="E413">
        <v>848.28</v>
      </c>
      <c r="F413">
        <v>1</v>
      </c>
      <c r="G413" t="s">
        <v>35</v>
      </c>
      <c r="H413">
        <v>1406.24</v>
      </c>
      <c r="I413">
        <v>1535.57</v>
      </c>
      <c r="J413" t="s">
        <v>30</v>
      </c>
      <c r="K413">
        <v>0.08</v>
      </c>
      <c r="L413" t="s">
        <v>31</v>
      </c>
      <c r="M413" t="s">
        <v>22</v>
      </c>
      <c r="N413" t="s">
        <v>46</v>
      </c>
      <c r="O413">
        <f>Table2[[#This Row],[Unit_Cost]]*Table2[[#This Row],[Quantity_Sold]]</f>
        <v>1406.24</v>
      </c>
      <c r="P413">
        <f t="shared" si="6"/>
        <v>-557.96</v>
      </c>
      <c r="Q413" s="3">
        <f>Table2[[#This Row],[Gross_Profit]]/Table2[[#This Row],[Sales_Amount]]</f>
        <v>-0.65775451501862603</v>
      </c>
      <c r="R413" t="str">
        <f>TEXT(Table2[[#This Row],[Sale_Date]],"mmmm")</f>
        <v>May</v>
      </c>
      <c r="S413" s="4">
        <f>YEAR(Table2[[#This Row],[Sale_Date]])</f>
        <v>2023</v>
      </c>
    </row>
    <row r="414" spans="1:19" x14ac:dyDescent="0.35">
      <c r="A414">
        <v>1026</v>
      </c>
      <c r="B414" s="1">
        <v>45054</v>
      </c>
      <c r="C414" t="s">
        <v>33</v>
      </c>
      <c r="D414" t="s">
        <v>21</v>
      </c>
      <c r="E414">
        <v>9519.09</v>
      </c>
      <c r="F414">
        <v>20</v>
      </c>
      <c r="G414" t="s">
        <v>29</v>
      </c>
      <c r="H414">
        <v>2985.63</v>
      </c>
      <c r="I414">
        <v>3452.14</v>
      </c>
      <c r="J414" t="s">
        <v>30</v>
      </c>
      <c r="K414">
        <v>0.17</v>
      </c>
      <c r="L414" t="s">
        <v>31</v>
      </c>
      <c r="M414" t="s">
        <v>22</v>
      </c>
      <c r="N414" t="s">
        <v>37</v>
      </c>
      <c r="O414">
        <f>Table2[[#This Row],[Unit_Cost]]*Table2[[#This Row],[Quantity_Sold]]</f>
        <v>59712.600000000006</v>
      </c>
      <c r="P414">
        <f t="shared" si="6"/>
        <v>-50193.510000000009</v>
      </c>
      <c r="Q414" s="3">
        <f>Table2[[#This Row],[Gross_Profit]]/Table2[[#This Row],[Sales_Amount]]</f>
        <v>-5.2729315512302133</v>
      </c>
      <c r="R414" t="str">
        <f>TEXT(Table2[[#This Row],[Sale_Date]],"mmmm")</f>
        <v>May</v>
      </c>
      <c r="S414" s="4">
        <f>YEAR(Table2[[#This Row],[Sale_Date]])</f>
        <v>2023</v>
      </c>
    </row>
    <row r="415" spans="1:19" x14ac:dyDescent="0.35">
      <c r="A415">
        <v>1099</v>
      </c>
      <c r="B415" s="1">
        <v>45267</v>
      </c>
      <c r="C415" t="s">
        <v>14</v>
      </c>
      <c r="D415" t="s">
        <v>34</v>
      </c>
      <c r="E415">
        <v>3043.18</v>
      </c>
      <c r="F415">
        <v>22</v>
      </c>
      <c r="G415" t="s">
        <v>16</v>
      </c>
      <c r="H415">
        <v>2471.67</v>
      </c>
      <c r="I415">
        <v>2533.04</v>
      </c>
      <c r="J415" t="s">
        <v>17</v>
      </c>
      <c r="K415">
        <v>0.02</v>
      </c>
      <c r="L415" t="s">
        <v>27</v>
      </c>
      <c r="M415" t="s">
        <v>22</v>
      </c>
      <c r="N415" t="s">
        <v>46</v>
      </c>
      <c r="O415">
        <f>Table2[[#This Row],[Unit_Cost]]*Table2[[#This Row],[Quantity_Sold]]</f>
        <v>54376.740000000005</v>
      </c>
      <c r="P415">
        <f t="shared" si="6"/>
        <v>-51333.560000000005</v>
      </c>
      <c r="Q415" s="3">
        <f>Table2[[#This Row],[Gross_Profit]]/Table2[[#This Row],[Sales_Amount]]</f>
        <v>-16.868394245493203</v>
      </c>
      <c r="R415" t="str">
        <f>TEXT(Table2[[#This Row],[Sale_Date]],"mmmm")</f>
        <v>December</v>
      </c>
      <c r="S415" s="4">
        <f>YEAR(Table2[[#This Row],[Sale_Date]])</f>
        <v>2023</v>
      </c>
    </row>
    <row r="416" spans="1:19" x14ac:dyDescent="0.35">
      <c r="A416">
        <v>1050</v>
      </c>
      <c r="B416" s="1">
        <v>44968</v>
      </c>
      <c r="C416" t="s">
        <v>33</v>
      </c>
      <c r="D416" t="s">
        <v>21</v>
      </c>
      <c r="E416">
        <v>1011.46</v>
      </c>
      <c r="F416">
        <v>48</v>
      </c>
      <c r="G416" t="s">
        <v>16</v>
      </c>
      <c r="H416">
        <v>710.06</v>
      </c>
      <c r="I416">
        <v>851.349999999999</v>
      </c>
      <c r="J416" t="s">
        <v>17</v>
      </c>
      <c r="K416">
        <v>0.04</v>
      </c>
      <c r="L416" t="s">
        <v>27</v>
      </c>
      <c r="M416" t="s">
        <v>19</v>
      </c>
      <c r="N416" t="s">
        <v>37</v>
      </c>
      <c r="O416">
        <f>Table2[[#This Row],[Unit_Cost]]*Table2[[#This Row],[Quantity_Sold]]</f>
        <v>34082.879999999997</v>
      </c>
      <c r="P416">
        <f t="shared" si="6"/>
        <v>-33071.42</v>
      </c>
      <c r="Q416" s="3">
        <f>Table2[[#This Row],[Gross_Profit]]/Table2[[#This Row],[Sales_Amount]]</f>
        <v>-32.69671563877958</v>
      </c>
      <c r="R416" t="str">
        <f>TEXT(Table2[[#This Row],[Sale_Date]],"mmmm")</f>
        <v>February</v>
      </c>
      <c r="S416" s="4">
        <f>YEAR(Table2[[#This Row],[Sale_Date]])</f>
        <v>2023</v>
      </c>
    </row>
    <row r="417" spans="1:19" x14ac:dyDescent="0.35">
      <c r="A417">
        <v>1025</v>
      </c>
      <c r="B417" s="1">
        <v>45282</v>
      </c>
      <c r="C417" t="s">
        <v>14</v>
      </c>
      <c r="D417" t="s">
        <v>25</v>
      </c>
      <c r="E417">
        <v>6030.54</v>
      </c>
      <c r="F417">
        <v>11</v>
      </c>
      <c r="G417" t="s">
        <v>26</v>
      </c>
      <c r="H417">
        <v>1250.5899999999999</v>
      </c>
      <c r="I417">
        <v>1515.48999999999</v>
      </c>
      <c r="J417" t="s">
        <v>17</v>
      </c>
      <c r="K417">
        <v>0.21</v>
      </c>
      <c r="L417" t="s">
        <v>27</v>
      </c>
      <c r="M417" t="s">
        <v>22</v>
      </c>
      <c r="N417" t="s">
        <v>32</v>
      </c>
      <c r="O417">
        <f>Table2[[#This Row],[Unit_Cost]]*Table2[[#This Row],[Quantity_Sold]]</f>
        <v>13756.49</v>
      </c>
      <c r="P417">
        <f t="shared" si="6"/>
        <v>-7725.95</v>
      </c>
      <c r="Q417" s="3">
        <f>Table2[[#This Row],[Gross_Profit]]/Table2[[#This Row],[Sales_Amount]]</f>
        <v>-1.2811373442510952</v>
      </c>
      <c r="R417" t="str">
        <f>TEXT(Table2[[#This Row],[Sale_Date]],"mmmm")</f>
        <v>December</v>
      </c>
      <c r="S417" s="4">
        <f>YEAR(Table2[[#This Row],[Sale_Date]])</f>
        <v>2023</v>
      </c>
    </row>
    <row r="418" spans="1:19" x14ac:dyDescent="0.35">
      <c r="A418">
        <v>1024</v>
      </c>
      <c r="B418" s="1">
        <v>44967</v>
      </c>
      <c r="C418" t="s">
        <v>24</v>
      </c>
      <c r="D418" t="s">
        <v>34</v>
      </c>
      <c r="E418">
        <v>6274.12</v>
      </c>
      <c r="F418">
        <v>13</v>
      </c>
      <c r="G418" t="s">
        <v>29</v>
      </c>
      <c r="H418">
        <v>1493.88</v>
      </c>
      <c r="I418">
        <v>1781.09</v>
      </c>
      <c r="J418" t="s">
        <v>30</v>
      </c>
      <c r="K418">
        <v>0.04</v>
      </c>
      <c r="L418" t="s">
        <v>18</v>
      </c>
      <c r="M418" t="s">
        <v>22</v>
      </c>
      <c r="N418" t="s">
        <v>50</v>
      </c>
      <c r="O418">
        <f>Table2[[#This Row],[Unit_Cost]]*Table2[[#This Row],[Quantity_Sold]]</f>
        <v>19420.440000000002</v>
      </c>
      <c r="P418">
        <f t="shared" si="6"/>
        <v>-13146.320000000003</v>
      </c>
      <c r="Q418" s="3">
        <f>Table2[[#This Row],[Gross_Profit]]/Table2[[#This Row],[Sales_Amount]]</f>
        <v>-2.0953249220607835</v>
      </c>
      <c r="R418" t="str">
        <f>TEXT(Table2[[#This Row],[Sale_Date]],"mmmm")</f>
        <v>February</v>
      </c>
      <c r="S418" s="4">
        <f>YEAR(Table2[[#This Row],[Sale_Date]])</f>
        <v>2023</v>
      </c>
    </row>
    <row r="419" spans="1:19" x14ac:dyDescent="0.35">
      <c r="A419">
        <v>1013</v>
      </c>
      <c r="B419" s="1">
        <v>44960</v>
      </c>
      <c r="C419" t="s">
        <v>14</v>
      </c>
      <c r="D419" t="s">
        <v>15</v>
      </c>
      <c r="E419">
        <v>6520.2</v>
      </c>
      <c r="F419">
        <v>42</v>
      </c>
      <c r="G419" t="s">
        <v>29</v>
      </c>
      <c r="H419">
        <v>4625.33</v>
      </c>
      <c r="I419">
        <v>4642.83</v>
      </c>
      <c r="J419" t="s">
        <v>30</v>
      </c>
      <c r="K419">
        <v>0.19</v>
      </c>
      <c r="L419" t="s">
        <v>31</v>
      </c>
      <c r="M419" t="s">
        <v>19</v>
      </c>
      <c r="N419" t="s">
        <v>20</v>
      </c>
      <c r="O419">
        <f>Table2[[#This Row],[Unit_Cost]]*Table2[[#This Row],[Quantity_Sold]]</f>
        <v>194263.86</v>
      </c>
      <c r="P419">
        <f t="shared" si="6"/>
        <v>-187743.65999999997</v>
      </c>
      <c r="Q419" s="3">
        <f>Table2[[#This Row],[Gross_Profit]]/Table2[[#This Row],[Sales_Amount]]</f>
        <v>-28.794156620962543</v>
      </c>
      <c r="R419" t="str">
        <f>TEXT(Table2[[#This Row],[Sale_Date]],"mmmm")</f>
        <v>February</v>
      </c>
      <c r="S419" s="4">
        <f>YEAR(Table2[[#This Row],[Sale_Date]])</f>
        <v>2023</v>
      </c>
    </row>
    <row r="420" spans="1:19" x14ac:dyDescent="0.35">
      <c r="A420">
        <v>1060</v>
      </c>
      <c r="B420" s="1">
        <v>44943</v>
      </c>
      <c r="C420" t="s">
        <v>14</v>
      </c>
      <c r="D420" t="s">
        <v>25</v>
      </c>
      <c r="E420">
        <v>2747.28</v>
      </c>
      <c r="F420">
        <v>3</v>
      </c>
      <c r="G420" t="s">
        <v>35</v>
      </c>
      <c r="H420">
        <v>1190.4100000000001</v>
      </c>
      <c r="I420">
        <v>1582.89</v>
      </c>
      <c r="J420" t="s">
        <v>30</v>
      </c>
      <c r="K420">
        <v>0.02</v>
      </c>
      <c r="L420" t="s">
        <v>31</v>
      </c>
      <c r="M420" t="s">
        <v>22</v>
      </c>
      <c r="N420" t="s">
        <v>32</v>
      </c>
      <c r="O420">
        <f>Table2[[#This Row],[Unit_Cost]]*Table2[[#This Row],[Quantity_Sold]]</f>
        <v>3571.2300000000005</v>
      </c>
      <c r="P420">
        <f t="shared" si="6"/>
        <v>-823.95000000000027</v>
      </c>
      <c r="Q420" s="3">
        <f>Table2[[#This Row],[Gross_Profit]]/Table2[[#This Row],[Sales_Amount]]</f>
        <v>-0.29991482484493759</v>
      </c>
      <c r="R420" t="str">
        <f>TEXT(Table2[[#This Row],[Sale_Date]],"mmmm")</f>
        <v>January</v>
      </c>
      <c r="S420" s="4">
        <f>YEAR(Table2[[#This Row],[Sale_Date]])</f>
        <v>2023</v>
      </c>
    </row>
    <row r="421" spans="1:19" x14ac:dyDescent="0.35">
      <c r="A421">
        <v>1007</v>
      </c>
      <c r="B421" s="1">
        <v>45091</v>
      </c>
      <c r="C421" t="s">
        <v>42</v>
      </c>
      <c r="D421" t="s">
        <v>15</v>
      </c>
      <c r="E421">
        <v>249.6</v>
      </c>
      <c r="F421">
        <v>9</v>
      </c>
      <c r="G421" t="s">
        <v>29</v>
      </c>
      <c r="H421">
        <v>1481.76</v>
      </c>
      <c r="I421">
        <v>1668.95</v>
      </c>
      <c r="J421" t="s">
        <v>17</v>
      </c>
      <c r="K421">
        <v>0.12</v>
      </c>
      <c r="L421" t="s">
        <v>31</v>
      </c>
      <c r="M421" t="s">
        <v>22</v>
      </c>
      <c r="N421" t="s">
        <v>49</v>
      </c>
      <c r="O421">
        <f>Table2[[#This Row],[Unit_Cost]]*Table2[[#This Row],[Quantity_Sold]]</f>
        <v>13335.84</v>
      </c>
      <c r="P421">
        <f t="shared" si="6"/>
        <v>-13086.24</v>
      </c>
      <c r="Q421" s="3">
        <f>Table2[[#This Row],[Gross_Profit]]/Table2[[#This Row],[Sales_Amount]]</f>
        <v>-52.428846153846152</v>
      </c>
      <c r="R421" t="str">
        <f>TEXT(Table2[[#This Row],[Sale_Date]],"mmmm")</f>
        <v>June</v>
      </c>
      <c r="S421" s="4">
        <f>YEAR(Table2[[#This Row],[Sale_Date]])</f>
        <v>2023</v>
      </c>
    </row>
    <row r="422" spans="1:19" x14ac:dyDescent="0.35">
      <c r="A422">
        <v>1057</v>
      </c>
      <c r="B422" s="1">
        <v>45079</v>
      </c>
      <c r="C422" t="s">
        <v>14</v>
      </c>
      <c r="D422" t="s">
        <v>25</v>
      </c>
      <c r="E422">
        <v>9653.65</v>
      </c>
      <c r="F422">
        <v>12</v>
      </c>
      <c r="G422" t="s">
        <v>35</v>
      </c>
      <c r="H422">
        <v>1878.3</v>
      </c>
      <c r="I422">
        <v>2087.4499999999998</v>
      </c>
      <c r="J422" t="s">
        <v>30</v>
      </c>
      <c r="K422">
        <v>0.05</v>
      </c>
      <c r="L422" t="s">
        <v>27</v>
      </c>
      <c r="M422" t="s">
        <v>22</v>
      </c>
      <c r="N422" t="s">
        <v>32</v>
      </c>
      <c r="O422">
        <f>Table2[[#This Row],[Unit_Cost]]*Table2[[#This Row],[Quantity_Sold]]</f>
        <v>22539.599999999999</v>
      </c>
      <c r="P422">
        <f t="shared" si="6"/>
        <v>-12885.949999999999</v>
      </c>
      <c r="Q422" s="3">
        <f>Table2[[#This Row],[Gross_Profit]]/Table2[[#This Row],[Sales_Amount]]</f>
        <v>-1.3348267235708773</v>
      </c>
      <c r="R422" t="str">
        <f>TEXT(Table2[[#This Row],[Sale_Date]],"mmmm")</f>
        <v>June</v>
      </c>
      <c r="S422" s="4">
        <f>YEAR(Table2[[#This Row],[Sale_Date]])</f>
        <v>2023</v>
      </c>
    </row>
    <row r="423" spans="1:19" x14ac:dyDescent="0.35">
      <c r="A423">
        <v>1036</v>
      </c>
      <c r="B423" s="1">
        <v>45002</v>
      </c>
      <c r="C423" t="s">
        <v>42</v>
      </c>
      <c r="D423" t="s">
        <v>34</v>
      </c>
      <c r="E423">
        <v>2583.84</v>
      </c>
      <c r="F423">
        <v>23</v>
      </c>
      <c r="G423" t="s">
        <v>26</v>
      </c>
      <c r="H423">
        <v>3335.53</v>
      </c>
      <c r="I423">
        <v>3742.12</v>
      </c>
      <c r="J423" t="s">
        <v>30</v>
      </c>
      <c r="K423">
        <v>0.03</v>
      </c>
      <c r="L423" t="s">
        <v>27</v>
      </c>
      <c r="M423" t="s">
        <v>22</v>
      </c>
      <c r="N423" t="s">
        <v>52</v>
      </c>
      <c r="O423">
        <f>Table2[[#This Row],[Unit_Cost]]*Table2[[#This Row],[Quantity_Sold]]</f>
        <v>76717.19</v>
      </c>
      <c r="P423">
        <f t="shared" si="6"/>
        <v>-74133.350000000006</v>
      </c>
      <c r="Q423" s="3">
        <f>Table2[[#This Row],[Gross_Profit]]/Table2[[#This Row],[Sales_Amount]]</f>
        <v>-28.691153476995481</v>
      </c>
      <c r="R423" t="str">
        <f>TEXT(Table2[[#This Row],[Sale_Date]],"mmmm")</f>
        <v>March</v>
      </c>
      <c r="S423" s="4">
        <f>YEAR(Table2[[#This Row],[Sale_Date]])</f>
        <v>2023</v>
      </c>
    </row>
    <row r="424" spans="1:19" x14ac:dyDescent="0.35">
      <c r="A424">
        <v>1045</v>
      </c>
      <c r="B424" s="1">
        <v>45013</v>
      </c>
      <c r="C424" t="s">
        <v>38</v>
      </c>
      <c r="D424" t="s">
        <v>21</v>
      </c>
      <c r="E424">
        <v>6792.66</v>
      </c>
      <c r="F424">
        <v>14</v>
      </c>
      <c r="G424" t="s">
        <v>29</v>
      </c>
      <c r="H424">
        <v>635.28</v>
      </c>
      <c r="I424">
        <v>831.13</v>
      </c>
      <c r="J424" t="s">
        <v>17</v>
      </c>
      <c r="K424">
        <v>0.17</v>
      </c>
      <c r="L424" t="s">
        <v>27</v>
      </c>
      <c r="M424" t="s">
        <v>22</v>
      </c>
      <c r="N424" t="s">
        <v>41</v>
      </c>
      <c r="O424">
        <f>Table2[[#This Row],[Unit_Cost]]*Table2[[#This Row],[Quantity_Sold]]</f>
        <v>8893.92</v>
      </c>
      <c r="P424">
        <f t="shared" si="6"/>
        <v>-2101.2600000000002</v>
      </c>
      <c r="Q424" s="3">
        <f>Table2[[#This Row],[Gross_Profit]]/Table2[[#This Row],[Sales_Amount]]</f>
        <v>-0.30934273171334947</v>
      </c>
      <c r="R424" t="str">
        <f>TEXT(Table2[[#This Row],[Sale_Date]],"mmmm")</f>
        <v>March</v>
      </c>
      <c r="S424" s="4">
        <f>YEAR(Table2[[#This Row],[Sale_Date]])</f>
        <v>2023</v>
      </c>
    </row>
    <row r="425" spans="1:19" x14ac:dyDescent="0.35">
      <c r="A425">
        <v>1020</v>
      </c>
      <c r="B425" s="1">
        <v>45043</v>
      </c>
      <c r="C425" t="s">
        <v>42</v>
      </c>
      <c r="D425" t="s">
        <v>25</v>
      </c>
      <c r="E425">
        <v>7095.64</v>
      </c>
      <c r="F425">
        <v>33</v>
      </c>
      <c r="G425" t="s">
        <v>16</v>
      </c>
      <c r="H425">
        <v>4772.03</v>
      </c>
      <c r="I425">
        <v>4805.17</v>
      </c>
      <c r="J425" t="s">
        <v>17</v>
      </c>
      <c r="K425">
        <v>0.28000000000000003</v>
      </c>
      <c r="L425" t="s">
        <v>27</v>
      </c>
      <c r="M425" t="s">
        <v>19</v>
      </c>
      <c r="N425" t="s">
        <v>43</v>
      </c>
      <c r="O425">
        <f>Table2[[#This Row],[Unit_Cost]]*Table2[[#This Row],[Quantity_Sold]]</f>
        <v>157476.99</v>
      </c>
      <c r="P425">
        <f t="shared" si="6"/>
        <v>-150381.34999999998</v>
      </c>
      <c r="Q425" s="3">
        <f>Table2[[#This Row],[Gross_Profit]]/Table2[[#This Row],[Sales_Amount]]</f>
        <v>-21.19348642264827</v>
      </c>
      <c r="R425" t="str">
        <f>TEXT(Table2[[#This Row],[Sale_Date]],"mmmm")</f>
        <v>April</v>
      </c>
      <c r="S425" s="4">
        <f>YEAR(Table2[[#This Row],[Sale_Date]])</f>
        <v>2023</v>
      </c>
    </row>
    <row r="426" spans="1:19" x14ac:dyDescent="0.35">
      <c r="A426">
        <v>1065</v>
      </c>
      <c r="B426" s="1">
        <v>45288</v>
      </c>
      <c r="C426" t="s">
        <v>24</v>
      </c>
      <c r="D426" t="s">
        <v>21</v>
      </c>
      <c r="E426">
        <v>6139.07</v>
      </c>
      <c r="F426">
        <v>18</v>
      </c>
      <c r="G426" t="s">
        <v>26</v>
      </c>
      <c r="H426">
        <v>4334.58</v>
      </c>
      <c r="I426">
        <v>4431.04</v>
      </c>
      <c r="J426" t="s">
        <v>30</v>
      </c>
      <c r="K426">
        <v>0.02</v>
      </c>
      <c r="L426" t="s">
        <v>27</v>
      </c>
      <c r="M426" t="s">
        <v>22</v>
      </c>
      <c r="N426" t="s">
        <v>47</v>
      </c>
      <c r="O426">
        <f>Table2[[#This Row],[Unit_Cost]]*Table2[[#This Row],[Quantity_Sold]]</f>
        <v>78022.44</v>
      </c>
      <c r="P426">
        <f t="shared" si="6"/>
        <v>-71883.37</v>
      </c>
      <c r="Q426" s="3">
        <f>Table2[[#This Row],[Gross_Profit]]/Table2[[#This Row],[Sales_Amount]]</f>
        <v>-11.709162788500539</v>
      </c>
      <c r="R426" t="str">
        <f>TEXT(Table2[[#This Row],[Sale_Date]],"mmmm")</f>
        <v>December</v>
      </c>
      <c r="S426" s="4">
        <f>YEAR(Table2[[#This Row],[Sale_Date]])</f>
        <v>2023</v>
      </c>
    </row>
    <row r="427" spans="1:19" x14ac:dyDescent="0.35">
      <c r="A427">
        <v>1008</v>
      </c>
      <c r="B427" s="1">
        <v>45268</v>
      </c>
      <c r="C427" t="s">
        <v>42</v>
      </c>
      <c r="D427" t="s">
        <v>25</v>
      </c>
      <c r="E427">
        <v>3197.78</v>
      </c>
      <c r="F427">
        <v>49</v>
      </c>
      <c r="G427" t="s">
        <v>35</v>
      </c>
      <c r="H427">
        <v>2907.22</v>
      </c>
      <c r="I427">
        <v>3385.6099999999901</v>
      </c>
      <c r="J427" t="s">
        <v>30</v>
      </c>
      <c r="K427">
        <v>0.13</v>
      </c>
      <c r="L427" t="s">
        <v>18</v>
      </c>
      <c r="M427" t="s">
        <v>19</v>
      </c>
      <c r="N427" t="s">
        <v>43</v>
      </c>
      <c r="O427">
        <f>Table2[[#This Row],[Unit_Cost]]*Table2[[#This Row],[Quantity_Sold]]</f>
        <v>142453.78</v>
      </c>
      <c r="P427">
        <f t="shared" si="6"/>
        <v>-139256</v>
      </c>
      <c r="Q427" s="3">
        <f>Table2[[#This Row],[Gross_Profit]]/Table2[[#This Row],[Sales_Amount]]</f>
        <v>-43.547711224662109</v>
      </c>
      <c r="R427" t="str">
        <f>TEXT(Table2[[#This Row],[Sale_Date]],"mmmm")</f>
        <v>December</v>
      </c>
      <c r="S427" s="4">
        <f>YEAR(Table2[[#This Row],[Sale_Date]])</f>
        <v>2023</v>
      </c>
    </row>
    <row r="428" spans="1:19" x14ac:dyDescent="0.35">
      <c r="A428">
        <v>1016</v>
      </c>
      <c r="B428" s="1">
        <v>44953</v>
      </c>
      <c r="C428" t="s">
        <v>38</v>
      </c>
      <c r="D428" t="s">
        <v>15</v>
      </c>
      <c r="E428">
        <v>2783.85</v>
      </c>
      <c r="F428">
        <v>41</v>
      </c>
      <c r="G428" t="s">
        <v>26</v>
      </c>
      <c r="H428">
        <v>3386.49</v>
      </c>
      <c r="I428">
        <v>3430.99</v>
      </c>
      <c r="J428" t="s">
        <v>30</v>
      </c>
      <c r="K428">
        <v>0.21</v>
      </c>
      <c r="L428" t="s">
        <v>27</v>
      </c>
      <c r="M428" t="s">
        <v>22</v>
      </c>
      <c r="N428" t="s">
        <v>40</v>
      </c>
      <c r="O428">
        <f>Table2[[#This Row],[Unit_Cost]]*Table2[[#This Row],[Quantity_Sold]]</f>
        <v>138846.09</v>
      </c>
      <c r="P428">
        <f t="shared" si="6"/>
        <v>-136062.24</v>
      </c>
      <c r="Q428" s="3">
        <f>Table2[[#This Row],[Gross_Profit]]/Table2[[#This Row],[Sales_Amount]]</f>
        <v>-48.875564416186215</v>
      </c>
      <c r="R428" t="str">
        <f>TEXT(Table2[[#This Row],[Sale_Date]],"mmmm")</f>
        <v>January</v>
      </c>
      <c r="S428" s="4">
        <f>YEAR(Table2[[#This Row],[Sale_Date]])</f>
        <v>2023</v>
      </c>
    </row>
    <row r="429" spans="1:19" x14ac:dyDescent="0.35">
      <c r="A429">
        <v>1014</v>
      </c>
      <c r="B429" s="1">
        <v>45239</v>
      </c>
      <c r="C429" t="s">
        <v>24</v>
      </c>
      <c r="D429" t="s">
        <v>15</v>
      </c>
      <c r="E429">
        <v>6016.92</v>
      </c>
      <c r="F429">
        <v>9</v>
      </c>
      <c r="G429" t="s">
        <v>35</v>
      </c>
      <c r="H429">
        <v>132.47</v>
      </c>
      <c r="I429">
        <v>316.39</v>
      </c>
      <c r="J429" t="s">
        <v>30</v>
      </c>
      <c r="K429">
        <v>0.14000000000000001</v>
      </c>
      <c r="L429" t="s">
        <v>31</v>
      </c>
      <c r="M429" t="s">
        <v>19</v>
      </c>
      <c r="N429" t="s">
        <v>45</v>
      </c>
      <c r="O429">
        <f>Table2[[#This Row],[Unit_Cost]]*Table2[[#This Row],[Quantity_Sold]]</f>
        <v>1192.23</v>
      </c>
      <c r="P429">
        <f t="shared" si="6"/>
        <v>4824.6900000000005</v>
      </c>
      <c r="Q429" s="3">
        <f>Table2[[#This Row],[Gross_Profit]]/Table2[[#This Row],[Sales_Amount]]</f>
        <v>0.80185377236193944</v>
      </c>
      <c r="R429" t="str">
        <f>TEXT(Table2[[#This Row],[Sale_Date]],"mmmm")</f>
        <v>November</v>
      </c>
      <c r="S429" s="4">
        <f>YEAR(Table2[[#This Row],[Sale_Date]])</f>
        <v>2023</v>
      </c>
    </row>
    <row r="430" spans="1:19" x14ac:dyDescent="0.35">
      <c r="A430">
        <v>1076</v>
      </c>
      <c r="B430" s="1">
        <v>45213</v>
      </c>
      <c r="C430" t="s">
        <v>33</v>
      </c>
      <c r="D430" t="s">
        <v>25</v>
      </c>
      <c r="E430">
        <v>8674.35</v>
      </c>
      <c r="F430">
        <v>23</v>
      </c>
      <c r="G430" t="s">
        <v>26</v>
      </c>
      <c r="H430">
        <v>1727.78</v>
      </c>
      <c r="I430">
        <v>1984.34</v>
      </c>
      <c r="J430" t="s">
        <v>17</v>
      </c>
      <c r="K430">
        <v>0.24</v>
      </c>
      <c r="L430" t="s">
        <v>27</v>
      </c>
      <c r="M430" t="s">
        <v>19</v>
      </c>
      <c r="N430" t="s">
        <v>44</v>
      </c>
      <c r="O430">
        <f>Table2[[#This Row],[Unit_Cost]]*Table2[[#This Row],[Quantity_Sold]]</f>
        <v>39738.94</v>
      </c>
      <c r="P430">
        <f t="shared" si="6"/>
        <v>-31064.590000000004</v>
      </c>
      <c r="Q430" s="3">
        <f>Table2[[#This Row],[Gross_Profit]]/Table2[[#This Row],[Sales_Amount]]</f>
        <v>-3.5812008968971742</v>
      </c>
      <c r="R430" t="str">
        <f>TEXT(Table2[[#This Row],[Sale_Date]],"mmmm")</f>
        <v>October</v>
      </c>
      <c r="S430" s="4">
        <f>YEAR(Table2[[#This Row],[Sale_Date]])</f>
        <v>2023</v>
      </c>
    </row>
    <row r="431" spans="1:19" x14ac:dyDescent="0.35">
      <c r="A431">
        <v>1087</v>
      </c>
      <c r="B431" s="1">
        <v>45060</v>
      </c>
      <c r="C431" t="s">
        <v>33</v>
      </c>
      <c r="D431" t="s">
        <v>21</v>
      </c>
      <c r="E431">
        <v>9472.66</v>
      </c>
      <c r="F431">
        <v>10</v>
      </c>
      <c r="G431" t="s">
        <v>35</v>
      </c>
      <c r="H431">
        <v>3988.52</v>
      </c>
      <c r="I431">
        <v>4240.2299999999996</v>
      </c>
      <c r="J431" t="s">
        <v>30</v>
      </c>
      <c r="K431">
        <v>0.05</v>
      </c>
      <c r="L431" t="s">
        <v>31</v>
      </c>
      <c r="M431" t="s">
        <v>19</v>
      </c>
      <c r="N431" t="s">
        <v>37</v>
      </c>
      <c r="O431">
        <f>Table2[[#This Row],[Unit_Cost]]*Table2[[#This Row],[Quantity_Sold]]</f>
        <v>39885.199999999997</v>
      </c>
      <c r="P431">
        <f t="shared" si="6"/>
        <v>-30412.539999999997</v>
      </c>
      <c r="Q431" s="3">
        <f>Table2[[#This Row],[Gross_Profit]]/Table2[[#This Row],[Sales_Amount]]</f>
        <v>-3.2105596527269</v>
      </c>
      <c r="R431" t="str">
        <f>TEXT(Table2[[#This Row],[Sale_Date]],"mmmm")</f>
        <v>May</v>
      </c>
      <c r="S431" s="4">
        <f>YEAR(Table2[[#This Row],[Sale_Date]])</f>
        <v>2023</v>
      </c>
    </row>
    <row r="432" spans="1:19" x14ac:dyDescent="0.35">
      <c r="A432">
        <v>1015</v>
      </c>
      <c r="B432" s="1">
        <v>45145</v>
      </c>
      <c r="C432" t="s">
        <v>42</v>
      </c>
      <c r="D432" t="s">
        <v>34</v>
      </c>
      <c r="E432">
        <v>1148.47</v>
      </c>
      <c r="F432">
        <v>19</v>
      </c>
      <c r="G432" t="s">
        <v>29</v>
      </c>
      <c r="H432">
        <v>433.54</v>
      </c>
      <c r="I432">
        <v>445.48</v>
      </c>
      <c r="J432" t="s">
        <v>30</v>
      </c>
      <c r="K432">
        <v>0.28999999999999998</v>
      </c>
      <c r="L432" t="s">
        <v>27</v>
      </c>
      <c r="M432" t="s">
        <v>22</v>
      </c>
      <c r="N432" t="s">
        <v>52</v>
      </c>
      <c r="O432">
        <f>Table2[[#This Row],[Unit_Cost]]*Table2[[#This Row],[Quantity_Sold]]</f>
        <v>8237.26</v>
      </c>
      <c r="P432">
        <f t="shared" si="6"/>
        <v>-7088.79</v>
      </c>
      <c r="Q432" s="3">
        <f>Table2[[#This Row],[Gross_Profit]]/Table2[[#This Row],[Sales_Amount]]</f>
        <v>-6.1723771626598865</v>
      </c>
      <c r="R432" t="str">
        <f>TEXT(Table2[[#This Row],[Sale_Date]],"mmmm")</f>
        <v>August</v>
      </c>
      <c r="S432" s="4">
        <f>YEAR(Table2[[#This Row],[Sale_Date]])</f>
        <v>2023</v>
      </c>
    </row>
    <row r="433" spans="1:19" x14ac:dyDescent="0.35">
      <c r="A433">
        <v>1092</v>
      </c>
      <c r="B433" s="1">
        <v>45094</v>
      </c>
      <c r="C433" t="s">
        <v>42</v>
      </c>
      <c r="D433" t="s">
        <v>34</v>
      </c>
      <c r="E433">
        <v>1632.8</v>
      </c>
      <c r="F433">
        <v>47</v>
      </c>
      <c r="G433" t="s">
        <v>16</v>
      </c>
      <c r="H433">
        <v>1447.45</v>
      </c>
      <c r="I433">
        <v>1703.02</v>
      </c>
      <c r="J433" t="s">
        <v>17</v>
      </c>
      <c r="K433">
        <v>0.12</v>
      </c>
      <c r="L433" t="s">
        <v>27</v>
      </c>
      <c r="M433" t="s">
        <v>22</v>
      </c>
      <c r="N433" t="s">
        <v>52</v>
      </c>
      <c r="O433">
        <f>Table2[[#This Row],[Unit_Cost]]*Table2[[#This Row],[Quantity_Sold]]</f>
        <v>68030.150000000009</v>
      </c>
      <c r="P433">
        <f t="shared" si="6"/>
        <v>-66397.350000000006</v>
      </c>
      <c r="Q433" s="3">
        <f>Table2[[#This Row],[Gross_Profit]]/Table2[[#This Row],[Sales_Amount]]</f>
        <v>-40.664717050465462</v>
      </c>
      <c r="R433" t="str">
        <f>TEXT(Table2[[#This Row],[Sale_Date]],"mmmm")</f>
        <v>June</v>
      </c>
      <c r="S433" s="4">
        <f>YEAR(Table2[[#This Row],[Sale_Date]])</f>
        <v>2023</v>
      </c>
    </row>
    <row r="434" spans="1:19" x14ac:dyDescent="0.35">
      <c r="A434">
        <v>1098</v>
      </c>
      <c r="B434" s="1">
        <v>45024</v>
      </c>
      <c r="C434" t="s">
        <v>38</v>
      </c>
      <c r="D434" t="s">
        <v>15</v>
      </c>
      <c r="E434">
        <v>9452.89</v>
      </c>
      <c r="F434">
        <v>5</v>
      </c>
      <c r="G434" t="s">
        <v>35</v>
      </c>
      <c r="H434">
        <v>2947.22</v>
      </c>
      <c r="I434">
        <v>3145.27</v>
      </c>
      <c r="J434" t="s">
        <v>30</v>
      </c>
      <c r="K434">
        <v>0.1</v>
      </c>
      <c r="L434" t="s">
        <v>31</v>
      </c>
      <c r="M434" t="s">
        <v>22</v>
      </c>
      <c r="N434" t="s">
        <v>40</v>
      </c>
      <c r="O434">
        <f>Table2[[#This Row],[Unit_Cost]]*Table2[[#This Row],[Quantity_Sold]]</f>
        <v>14736.099999999999</v>
      </c>
      <c r="P434">
        <f t="shared" si="6"/>
        <v>-5283.2099999999991</v>
      </c>
      <c r="Q434" s="3">
        <f>Table2[[#This Row],[Gross_Profit]]/Table2[[#This Row],[Sales_Amount]]</f>
        <v>-0.55889891874336839</v>
      </c>
      <c r="R434" t="str">
        <f>TEXT(Table2[[#This Row],[Sale_Date]],"mmmm")</f>
        <v>April</v>
      </c>
      <c r="S434" s="4">
        <f>YEAR(Table2[[#This Row],[Sale_Date]])</f>
        <v>2023</v>
      </c>
    </row>
    <row r="435" spans="1:19" x14ac:dyDescent="0.35">
      <c r="A435">
        <v>1066</v>
      </c>
      <c r="B435" s="1">
        <v>45194</v>
      </c>
      <c r="C435" t="s">
        <v>38</v>
      </c>
      <c r="D435" t="s">
        <v>34</v>
      </c>
      <c r="E435">
        <v>7391.7</v>
      </c>
      <c r="F435">
        <v>47</v>
      </c>
      <c r="G435" t="s">
        <v>26</v>
      </c>
      <c r="H435">
        <v>1319.24</v>
      </c>
      <c r="I435">
        <v>1805.56</v>
      </c>
      <c r="J435" t="s">
        <v>30</v>
      </c>
      <c r="K435">
        <v>0.26</v>
      </c>
      <c r="L435" t="s">
        <v>31</v>
      </c>
      <c r="M435" t="s">
        <v>22</v>
      </c>
      <c r="N435" t="s">
        <v>48</v>
      </c>
      <c r="O435">
        <f>Table2[[#This Row],[Unit_Cost]]*Table2[[#This Row],[Quantity_Sold]]</f>
        <v>62004.28</v>
      </c>
      <c r="P435">
        <f t="shared" si="6"/>
        <v>-54612.58</v>
      </c>
      <c r="Q435" s="3">
        <f>Table2[[#This Row],[Gross_Profit]]/Table2[[#This Row],[Sales_Amount]]</f>
        <v>-7.3883653286794653</v>
      </c>
      <c r="R435" t="str">
        <f>TEXT(Table2[[#This Row],[Sale_Date]],"mmmm")</f>
        <v>September</v>
      </c>
      <c r="S435" s="4">
        <f>YEAR(Table2[[#This Row],[Sale_Date]])</f>
        <v>2023</v>
      </c>
    </row>
    <row r="436" spans="1:19" x14ac:dyDescent="0.35">
      <c r="A436">
        <v>1032</v>
      </c>
      <c r="B436" s="1">
        <v>45163</v>
      </c>
      <c r="C436" t="s">
        <v>14</v>
      </c>
      <c r="D436" t="s">
        <v>15</v>
      </c>
      <c r="E436">
        <v>8841.64</v>
      </c>
      <c r="F436">
        <v>23</v>
      </c>
      <c r="G436" t="s">
        <v>35</v>
      </c>
      <c r="H436">
        <v>4673.1899999999996</v>
      </c>
      <c r="I436">
        <v>4761.1799999999903</v>
      </c>
      <c r="J436" t="s">
        <v>17</v>
      </c>
      <c r="K436">
        <v>0.17</v>
      </c>
      <c r="L436" t="s">
        <v>31</v>
      </c>
      <c r="M436" t="s">
        <v>22</v>
      </c>
      <c r="N436" t="s">
        <v>20</v>
      </c>
      <c r="O436">
        <f>Table2[[#This Row],[Unit_Cost]]*Table2[[#This Row],[Quantity_Sold]]</f>
        <v>107483.37</v>
      </c>
      <c r="P436">
        <f t="shared" si="6"/>
        <v>-98641.73</v>
      </c>
      <c r="Q436" s="3">
        <f>Table2[[#This Row],[Gross_Profit]]/Table2[[#This Row],[Sales_Amount]]</f>
        <v>-11.156496984722292</v>
      </c>
      <c r="R436" t="str">
        <f>TEXT(Table2[[#This Row],[Sale_Date]],"mmmm")</f>
        <v>August</v>
      </c>
      <c r="S436" s="4">
        <f>YEAR(Table2[[#This Row],[Sale_Date]])</f>
        <v>2023</v>
      </c>
    </row>
    <row r="437" spans="1:19" x14ac:dyDescent="0.35">
      <c r="A437">
        <v>1087</v>
      </c>
      <c r="B437" s="1">
        <v>45235</v>
      </c>
      <c r="C437" t="s">
        <v>38</v>
      </c>
      <c r="D437" t="s">
        <v>34</v>
      </c>
      <c r="E437">
        <v>2106.06</v>
      </c>
      <c r="F437">
        <v>30</v>
      </c>
      <c r="G437" t="s">
        <v>35</v>
      </c>
      <c r="H437">
        <v>698.74</v>
      </c>
      <c r="I437">
        <v>882.28</v>
      </c>
      <c r="J437" t="s">
        <v>17</v>
      </c>
      <c r="K437">
        <v>0.15</v>
      </c>
      <c r="L437" t="s">
        <v>31</v>
      </c>
      <c r="M437" t="s">
        <v>19</v>
      </c>
      <c r="N437" t="s">
        <v>48</v>
      </c>
      <c r="O437">
        <f>Table2[[#This Row],[Unit_Cost]]*Table2[[#This Row],[Quantity_Sold]]</f>
        <v>20962.2</v>
      </c>
      <c r="P437">
        <f t="shared" si="6"/>
        <v>-18856.14</v>
      </c>
      <c r="Q437" s="3">
        <f>Table2[[#This Row],[Gross_Profit]]/Table2[[#This Row],[Sales_Amount]]</f>
        <v>-8.9532776843964559</v>
      </c>
      <c r="R437" t="str">
        <f>TEXT(Table2[[#This Row],[Sale_Date]],"mmmm")</f>
        <v>November</v>
      </c>
      <c r="S437" s="4">
        <f>YEAR(Table2[[#This Row],[Sale_Date]])</f>
        <v>2023</v>
      </c>
    </row>
    <row r="438" spans="1:19" x14ac:dyDescent="0.35">
      <c r="A438">
        <v>1063</v>
      </c>
      <c r="B438" s="1">
        <v>45099</v>
      </c>
      <c r="C438" t="s">
        <v>14</v>
      </c>
      <c r="D438" t="s">
        <v>25</v>
      </c>
      <c r="E438">
        <v>5917.1</v>
      </c>
      <c r="F438">
        <v>25</v>
      </c>
      <c r="G438" t="s">
        <v>35</v>
      </c>
      <c r="H438">
        <v>3997.1</v>
      </c>
      <c r="I438">
        <v>4212.6499999999996</v>
      </c>
      <c r="J438" t="s">
        <v>30</v>
      </c>
      <c r="K438">
        <v>0.22</v>
      </c>
      <c r="L438" t="s">
        <v>18</v>
      </c>
      <c r="M438" t="s">
        <v>19</v>
      </c>
      <c r="N438" t="s">
        <v>32</v>
      </c>
      <c r="O438">
        <f>Table2[[#This Row],[Unit_Cost]]*Table2[[#This Row],[Quantity_Sold]]</f>
        <v>99927.5</v>
      </c>
      <c r="P438">
        <f t="shared" si="6"/>
        <v>-94010.4</v>
      </c>
      <c r="Q438" s="3">
        <f>Table2[[#This Row],[Gross_Profit]]/Table2[[#This Row],[Sales_Amount]]</f>
        <v>-15.887918067972485</v>
      </c>
      <c r="R438" t="str">
        <f>TEXT(Table2[[#This Row],[Sale_Date]],"mmmm")</f>
        <v>June</v>
      </c>
      <c r="S438" s="4">
        <f>YEAR(Table2[[#This Row],[Sale_Date]])</f>
        <v>2023</v>
      </c>
    </row>
    <row r="439" spans="1:19" x14ac:dyDescent="0.35">
      <c r="A439">
        <v>1086</v>
      </c>
      <c r="B439" s="1">
        <v>45116</v>
      </c>
      <c r="C439" t="s">
        <v>24</v>
      </c>
      <c r="D439" t="s">
        <v>15</v>
      </c>
      <c r="E439">
        <v>7041.28</v>
      </c>
      <c r="F439">
        <v>28</v>
      </c>
      <c r="G439" t="s">
        <v>26</v>
      </c>
      <c r="H439">
        <v>2564.35</v>
      </c>
      <c r="I439">
        <v>2765.79</v>
      </c>
      <c r="J439" t="s">
        <v>17</v>
      </c>
      <c r="K439">
        <v>0.17</v>
      </c>
      <c r="L439" t="s">
        <v>31</v>
      </c>
      <c r="M439" t="s">
        <v>19</v>
      </c>
      <c r="N439" t="s">
        <v>45</v>
      </c>
      <c r="O439">
        <f>Table2[[#This Row],[Unit_Cost]]*Table2[[#This Row],[Quantity_Sold]]</f>
        <v>71801.8</v>
      </c>
      <c r="P439">
        <f t="shared" si="6"/>
        <v>-64760.520000000004</v>
      </c>
      <c r="Q439" s="3">
        <f>Table2[[#This Row],[Gross_Profit]]/Table2[[#This Row],[Sales_Amount]]</f>
        <v>-9.1972652699509183</v>
      </c>
      <c r="R439" t="str">
        <f>TEXT(Table2[[#This Row],[Sale_Date]],"mmmm")</f>
        <v>July</v>
      </c>
      <c r="S439" s="4">
        <f>YEAR(Table2[[#This Row],[Sale_Date]])</f>
        <v>2023</v>
      </c>
    </row>
    <row r="440" spans="1:19" x14ac:dyDescent="0.35">
      <c r="A440">
        <v>1051</v>
      </c>
      <c r="B440" s="1">
        <v>45048</v>
      </c>
      <c r="C440" t="s">
        <v>42</v>
      </c>
      <c r="D440" t="s">
        <v>15</v>
      </c>
      <c r="E440">
        <v>6833.11</v>
      </c>
      <c r="F440">
        <v>34</v>
      </c>
      <c r="G440" t="s">
        <v>16</v>
      </c>
      <c r="H440">
        <v>3764.14</v>
      </c>
      <c r="I440">
        <v>4100.3999999999996</v>
      </c>
      <c r="J440" t="s">
        <v>17</v>
      </c>
      <c r="K440">
        <v>0.05</v>
      </c>
      <c r="L440" t="s">
        <v>27</v>
      </c>
      <c r="M440" t="s">
        <v>22</v>
      </c>
      <c r="N440" t="s">
        <v>49</v>
      </c>
      <c r="O440">
        <f>Table2[[#This Row],[Unit_Cost]]*Table2[[#This Row],[Quantity_Sold]]</f>
        <v>127980.76</v>
      </c>
      <c r="P440">
        <f t="shared" si="6"/>
        <v>-121147.65</v>
      </c>
      <c r="Q440" s="3">
        <f>Table2[[#This Row],[Gross_Profit]]/Table2[[#This Row],[Sales_Amount]]</f>
        <v>-17.7295038423207</v>
      </c>
      <c r="R440" t="str">
        <f>TEXT(Table2[[#This Row],[Sale_Date]],"mmmm")</f>
        <v>May</v>
      </c>
      <c r="S440" s="4">
        <f>YEAR(Table2[[#This Row],[Sale_Date]])</f>
        <v>2023</v>
      </c>
    </row>
    <row r="441" spans="1:19" x14ac:dyDescent="0.35">
      <c r="A441">
        <v>1025</v>
      </c>
      <c r="B441" s="1">
        <v>44972</v>
      </c>
      <c r="C441" t="s">
        <v>24</v>
      </c>
      <c r="D441" t="s">
        <v>25</v>
      </c>
      <c r="E441">
        <v>4140.7</v>
      </c>
      <c r="F441">
        <v>45</v>
      </c>
      <c r="G441" t="s">
        <v>29</v>
      </c>
      <c r="H441">
        <v>1588.04</v>
      </c>
      <c r="I441">
        <v>1703.6399999999901</v>
      </c>
      <c r="J441" t="s">
        <v>30</v>
      </c>
      <c r="K441">
        <v>0.2</v>
      </c>
      <c r="L441" t="s">
        <v>27</v>
      </c>
      <c r="M441" t="s">
        <v>22</v>
      </c>
      <c r="N441" t="s">
        <v>28</v>
      </c>
      <c r="O441">
        <f>Table2[[#This Row],[Unit_Cost]]*Table2[[#This Row],[Quantity_Sold]]</f>
        <v>71461.8</v>
      </c>
      <c r="P441">
        <f t="shared" si="6"/>
        <v>-67321.100000000006</v>
      </c>
      <c r="Q441" s="3">
        <f>Table2[[#This Row],[Gross_Profit]]/Table2[[#This Row],[Sales_Amount]]</f>
        <v>-16.258386263192214</v>
      </c>
      <c r="R441" t="str">
        <f>TEXT(Table2[[#This Row],[Sale_Date]],"mmmm")</f>
        <v>February</v>
      </c>
      <c r="S441" s="4">
        <f>YEAR(Table2[[#This Row],[Sale_Date]])</f>
        <v>2023</v>
      </c>
    </row>
    <row r="442" spans="1:19" x14ac:dyDescent="0.35">
      <c r="A442">
        <v>1058</v>
      </c>
      <c r="B442" s="1">
        <v>44990</v>
      </c>
      <c r="C442" t="s">
        <v>38</v>
      </c>
      <c r="D442" t="s">
        <v>15</v>
      </c>
      <c r="E442">
        <v>252.41</v>
      </c>
      <c r="F442">
        <v>48</v>
      </c>
      <c r="G442" t="s">
        <v>16</v>
      </c>
      <c r="H442">
        <v>2596.7199999999998</v>
      </c>
      <c r="I442">
        <v>2715.0499999999902</v>
      </c>
      <c r="J442" t="s">
        <v>17</v>
      </c>
      <c r="K442">
        <v>0.04</v>
      </c>
      <c r="L442" t="s">
        <v>18</v>
      </c>
      <c r="M442" t="s">
        <v>19</v>
      </c>
      <c r="N442" t="s">
        <v>40</v>
      </c>
      <c r="O442">
        <f>Table2[[#This Row],[Unit_Cost]]*Table2[[#This Row],[Quantity_Sold]]</f>
        <v>124642.56</v>
      </c>
      <c r="P442">
        <f t="shared" si="6"/>
        <v>-124390.15</v>
      </c>
      <c r="Q442" s="3">
        <f>Table2[[#This Row],[Gross_Profit]]/Table2[[#This Row],[Sales_Amount]]</f>
        <v>-492.80991244403947</v>
      </c>
      <c r="R442" t="str">
        <f>TEXT(Table2[[#This Row],[Sale_Date]],"mmmm")</f>
        <v>March</v>
      </c>
      <c r="S442" s="4">
        <f>YEAR(Table2[[#This Row],[Sale_Date]])</f>
        <v>2023</v>
      </c>
    </row>
    <row r="443" spans="1:19" x14ac:dyDescent="0.35">
      <c r="A443">
        <v>1063</v>
      </c>
      <c r="B443" s="1">
        <v>45056</v>
      </c>
      <c r="C443" t="s">
        <v>24</v>
      </c>
      <c r="D443" t="s">
        <v>34</v>
      </c>
      <c r="E443">
        <v>5870.97</v>
      </c>
      <c r="F443">
        <v>47</v>
      </c>
      <c r="G443" t="s">
        <v>35</v>
      </c>
      <c r="H443">
        <v>4291.33</v>
      </c>
      <c r="I443">
        <v>4658.6400000000003</v>
      </c>
      <c r="J443" t="s">
        <v>30</v>
      </c>
      <c r="K443">
        <v>0.24</v>
      </c>
      <c r="L443" t="s">
        <v>31</v>
      </c>
      <c r="M443" t="s">
        <v>22</v>
      </c>
      <c r="N443" t="s">
        <v>50</v>
      </c>
      <c r="O443">
        <f>Table2[[#This Row],[Unit_Cost]]*Table2[[#This Row],[Quantity_Sold]]</f>
        <v>201692.51</v>
      </c>
      <c r="P443">
        <f t="shared" si="6"/>
        <v>-195821.54</v>
      </c>
      <c r="Q443" s="3">
        <f>Table2[[#This Row],[Gross_Profit]]/Table2[[#This Row],[Sales_Amount]]</f>
        <v>-33.354205523107765</v>
      </c>
      <c r="R443" t="str">
        <f>TEXT(Table2[[#This Row],[Sale_Date]],"mmmm")</f>
        <v>May</v>
      </c>
      <c r="S443" s="4">
        <f>YEAR(Table2[[#This Row],[Sale_Date]])</f>
        <v>2023</v>
      </c>
    </row>
    <row r="444" spans="1:19" x14ac:dyDescent="0.35">
      <c r="A444">
        <v>1062</v>
      </c>
      <c r="B444" s="1">
        <v>45236</v>
      </c>
      <c r="C444" t="s">
        <v>24</v>
      </c>
      <c r="D444" t="s">
        <v>34</v>
      </c>
      <c r="E444">
        <v>2605.71</v>
      </c>
      <c r="F444">
        <v>25</v>
      </c>
      <c r="G444" t="s">
        <v>26</v>
      </c>
      <c r="H444">
        <v>2361.0500000000002</v>
      </c>
      <c r="I444">
        <v>2616.19</v>
      </c>
      <c r="J444" t="s">
        <v>30</v>
      </c>
      <c r="K444">
        <v>0.3</v>
      </c>
      <c r="L444" t="s">
        <v>27</v>
      </c>
      <c r="M444" t="s">
        <v>22</v>
      </c>
      <c r="N444" t="s">
        <v>50</v>
      </c>
      <c r="O444">
        <f>Table2[[#This Row],[Unit_Cost]]*Table2[[#This Row],[Quantity_Sold]]</f>
        <v>59026.250000000007</v>
      </c>
      <c r="P444">
        <f t="shared" si="6"/>
        <v>-56420.540000000008</v>
      </c>
      <c r="Q444" s="3">
        <f>Table2[[#This Row],[Gross_Profit]]/Table2[[#This Row],[Sales_Amount]]</f>
        <v>-21.652655130463486</v>
      </c>
      <c r="R444" t="str">
        <f>TEXT(Table2[[#This Row],[Sale_Date]],"mmmm")</f>
        <v>November</v>
      </c>
      <c r="S444" s="4">
        <f>YEAR(Table2[[#This Row],[Sale_Date]])</f>
        <v>2023</v>
      </c>
    </row>
    <row r="445" spans="1:19" x14ac:dyDescent="0.35">
      <c r="A445">
        <v>1022</v>
      </c>
      <c r="B445" s="1">
        <v>45289</v>
      </c>
      <c r="C445" t="s">
        <v>24</v>
      </c>
      <c r="D445" t="s">
        <v>15</v>
      </c>
      <c r="E445">
        <v>4557.5200000000004</v>
      </c>
      <c r="F445">
        <v>10</v>
      </c>
      <c r="G445" t="s">
        <v>16</v>
      </c>
      <c r="H445">
        <v>1830.61</v>
      </c>
      <c r="I445">
        <v>2044.04</v>
      </c>
      <c r="J445" t="s">
        <v>30</v>
      </c>
      <c r="K445">
        <v>0.11</v>
      </c>
      <c r="L445" t="s">
        <v>18</v>
      </c>
      <c r="M445" t="s">
        <v>19</v>
      </c>
      <c r="N445" t="s">
        <v>45</v>
      </c>
      <c r="O445">
        <f>Table2[[#This Row],[Unit_Cost]]*Table2[[#This Row],[Quantity_Sold]]</f>
        <v>18306.099999999999</v>
      </c>
      <c r="P445">
        <f t="shared" si="6"/>
        <v>-13748.579999999998</v>
      </c>
      <c r="Q445" s="3">
        <f>Table2[[#This Row],[Gross_Profit]]/Table2[[#This Row],[Sales_Amount]]</f>
        <v>-3.0166801242781154</v>
      </c>
      <c r="R445" t="str">
        <f>TEXT(Table2[[#This Row],[Sale_Date]],"mmmm")</f>
        <v>December</v>
      </c>
      <c r="S445" s="4">
        <f>YEAR(Table2[[#This Row],[Sale_Date]])</f>
        <v>2023</v>
      </c>
    </row>
    <row r="446" spans="1:19" x14ac:dyDescent="0.35">
      <c r="A446">
        <v>1058</v>
      </c>
      <c r="B446" s="1">
        <v>45119</v>
      </c>
      <c r="C446" t="s">
        <v>38</v>
      </c>
      <c r="D446" t="s">
        <v>34</v>
      </c>
      <c r="E446">
        <v>9580.0499999999993</v>
      </c>
      <c r="F446">
        <v>14</v>
      </c>
      <c r="G446" t="s">
        <v>35</v>
      </c>
      <c r="H446">
        <v>2703.97</v>
      </c>
      <c r="I446">
        <v>2796.8799999999901</v>
      </c>
      <c r="J446" t="s">
        <v>30</v>
      </c>
      <c r="K446">
        <v>0.13</v>
      </c>
      <c r="L446" t="s">
        <v>27</v>
      </c>
      <c r="M446" t="s">
        <v>19</v>
      </c>
      <c r="N446" t="s">
        <v>48</v>
      </c>
      <c r="O446">
        <f>Table2[[#This Row],[Unit_Cost]]*Table2[[#This Row],[Quantity_Sold]]</f>
        <v>37855.579999999994</v>
      </c>
      <c r="P446">
        <f t="shared" si="6"/>
        <v>-28275.529999999995</v>
      </c>
      <c r="Q446" s="3">
        <f>Table2[[#This Row],[Gross_Profit]]/Table2[[#This Row],[Sales_Amount]]</f>
        <v>-2.9515012969660908</v>
      </c>
      <c r="R446" t="str">
        <f>TEXT(Table2[[#This Row],[Sale_Date]],"mmmm")</f>
        <v>July</v>
      </c>
      <c r="S446" s="4">
        <f>YEAR(Table2[[#This Row],[Sale_Date]])</f>
        <v>2023</v>
      </c>
    </row>
    <row r="447" spans="1:19" x14ac:dyDescent="0.35">
      <c r="A447">
        <v>1058</v>
      </c>
      <c r="B447" s="1">
        <v>45233</v>
      </c>
      <c r="C447" t="s">
        <v>24</v>
      </c>
      <c r="D447" t="s">
        <v>21</v>
      </c>
      <c r="E447">
        <v>4050.45</v>
      </c>
      <c r="F447">
        <v>42</v>
      </c>
      <c r="G447" t="s">
        <v>29</v>
      </c>
      <c r="H447">
        <v>3600.95</v>
      </c>
      <c r="I447">
        <v>3702.8399999999901</v>
      </c>
      <c r="J447" t="s">
        <v>17</v>
      </c>
      <c r="K447">
        <v>0.01</v>
      </c>
      <c r="L447" t="s">
        <v>18</v>
      </c>
      <c r="M447" t="s">
        <v>22</v>
      </c>
      <c r="N447" t="s">
        <v>47</v>
      </c>
      <c r="O447">
        <f>Table2[[#This Row],[Unit_Cost]]*Table2[[#This Row],[Quantity_Sold]]</f>
        <v>151239.9</v>
      </c>
      <c r="P447">
        <f t="shared" si="6"/>
        <v>-147189.44999999998</v>
      </c>
      <c r="Q447" s="3">
        <f>Table2[[#This Row],[Gross_Profit]]/Table2[[#This Row],[Sales_Amount]]</f>
        <v>-36.339036403362584</v>
      </c>
      <c r="R447" t="str">
        <f>TEXT(Table2[[#This Row],[Sale_Date]],"mmmm")</f>
        <v>November</v>
      </c>
      <c r="S447" s="4">
        <f>YEAR(Table2[[#This Row],[Sale_Date]])</f>
        <v>2023</v>
      </c>
    </row>
    <row r="448" spans="1:19" x14ac:dyDescent="0.35">
      <c r="A448">
        <v>1086</v>
      </c>
      <c r="B448" s="1">
        <v>45107</v>
      </c>
      <c r="C448" t="s">
        <v>14</v>
      </c>
      <c r="D448" t="s">
        <v>15</v>
      </c>
      <c r="E448">
        <v>8414.0400000000009</v>
      </c>
      <c r="F448">
        <v>46</v>
      </c>
      <c r="G448" t="s">
        <v>29</v>
      </c>
      <c r="H448">
        <v>2245.64</v>
      </c>
      <c r="I448">
        <v>2260.81</v>
      </c>
      <c r="J448" t="s">
        <v>30</v>
      </c>
      <c r="K448">
        <v>0</v>
      </c>
      <c r="L448" t="s">
        <v>18</v>
      </c>
      <c r="M448" t="s">
        <v>22</v>
      </c>
      <c r="N448" t="s">
        <v>20</v>
      </c>
      <c r="O448">
        <f>Table2[[#This Row],[Unit_Cost]]*Table2[[#This Row],[Quantity_Sold]]</f>
        <v>103299.43999999999</v>
      </c>
      <c r="P448">
        <f t="shared" si="6"/>
        <v>-94885.4</v>
      </c>
      <c r="Q448" s="3">
        <f>Table2[[#This Row],[Gross_Profit]]/Table2[[#This Row],[Sales_Amount]]</f>
        <v>-11.277032198563353</v>
      </c>
      <c r="R448" t="str">
        <f>TEXT(Table2[[#This Row],[Sale_Date]],"mmmm")</f>
        <v>June</v>
      </c>
      <c r="S448" s="4">
        <f>YEAR(Table2[[#This Row],[Sale_Date]])</f>
        <v>2023</v>
      </c>
    </row>
    <row r="449" spans="1:19" x14ac:dyDescent="0.3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c r="O449">
        <f>Table2[[#This Row],[Unit_Cost]]*Table2[[#This Row],[Quantity_Sold]]</f>
        <v>140923.19999999998</v>
      </c>
      <c r="P449">
        <f t="shared" si="6"/>
        <v>-138956.65</v>
      </c>
      <c r="Q449" s="3">
        <f>Table2[[#This Row],[Gross_Profit]]/Table2[[#This Row],[Sales_Amount]]</f>
        <v>-70.660115430576383</v>
      </c>
      <c r="R449" t="str">
        <f>TEXT(Table2[[#This Row],[Sale_Date]],"mmmm")</f>
        <v>October</v>
      </c>
      <c r="S449" s="4">
        <f>YEAR(Table2[[#This Row],[Sale_Date]])</f>
        <v>2023</v>
      </c>
    </row>
    <row r="450" spans="1:19" x14ac:dyDescent="0.35">
      <c r="A450">
        <v>1052</v>
      </c>
      <c r="B450" s="1">
        <v>45208</v>
      </c>
      <c r="C450" t="s">
        <v>24</v>
      </c>
      <c r="D450" t="s">
        <v>21</v>
      </c>
      <c r="E450">
        <v>6757.36</v>
      </c>
      <c r="F450">
        <v>41</v>
      </c>
      <c r="G450" t="s">
        <v>35</v>
      </c>
      <c r="H450">
        <v>1509.98</v>
      </c>
      <c r="I450">
        <v>1792.83</v>
      </c>
      <c r="J450" t="s">
        <v>30</v>
      </c>
      <c r="K450">
        <v>0.04</v>
      </c>
      <c r="L450" t="s">
        <v>18</v>
      </c>
      <c r="M450" t="s">
        <v>22</v>
      </c>
      <c r="N450" t="s">
        <v>47</v>
      </c>
      <c r="O450">
        <f>Table2[[#This Row],[Unit_Cost]]*Table2[[#This Row],[Quantity_Sold]]</f>
        <v>61909.18</v>
      </c>
      <c r="P450">
        <f t="shared" ref="P450:P513" si="7">E450-O450</f>
        <v>-55151.82</v>
      </c>
      <c r="Q450" s="3">
        <f>Table2[[#This Row],[Gross_Profit]]/Table2[[#This Row],[Sales_Amount]]</f>
        <v>-8.1617406797921088</v>
      </c>
      <c r="R450" t="str">
        <f>TEXT(Table2[[#This Row],[Sale_Date]],"mmmm")</f>
        <v>October</v>
      </c>
      <c r="S450" s="4">
        <f>YEAR(Table2[[#This Row],[Sale_Date]])</f>
        <v>2023</v>
      </c>
    </row>
    <row r="451" spans="1:19" x14ac:dyDescent="0.35">
      <c r="A451">
        <v>1042</v>
      </c>
      <c r="B451" s="1">
        <v>44955</v>
      </c>
      <c r="C451" t="s">
        <v>38</v>
      </c>
      <c r="D451" t="s">
        <v>15</v>
      </c>
      <c r="E451">
        <v>9772.3700000000008</v>
      </c>
      <c r="F451">
        <v>25</v>
      </c>
      <c r="G451" t="s">
        <v>26</v>
      </c>
      <c r="H451">
        <v>2403.54</v>
      </c>
      <c r="I451">
        <v>2850.56</v>
      </c>
      <c r="J451" t="s">
        <v>30</v>
      </c>
      <c r="K451">
        <v>0.13</v>
      </c>
      <c r="L451" t="s">
        <v>27</v>
      </c>
      <c r="M451" t="s">
        <v>19</v>
      </c>
      <c r="N451" t="s">
        <v>40</v>
      </c>
      <c r="O451">
        <f>Table2[[#This Row],[Unit_Cost]]*Table2[[#This Row],[Quantity_Sold]]</f>
        <v>60088.5</v>
      </c>
      <c r="P451">
        <f t="shared" si="7"/>
        <v>-50316.13</v>
      </c>
      <c r="Q451" s="3">
        <f>Table2[[#This Row],[Gross_Profit]]/Table2[[#This Row],[Sales_Amount]]</f>
        <v>-5.1488154869289637</v>
      </c>
      <c r="R451" t="str">
        <f>TEXT(Table2[[#This Row],[Sale_Date]],"mmmm")</f>
        <v>January</v>
      </c>
      <c r="S451" s="4">
        <f>YEAR(Table2[[#This Row],[Sale_Date]])</f>
        <v>2023</v>
      </c>
    </row>
    <row r="452" spans="1:19" x14ac:dyDescent="0.35">
      <c r="A452">
        <v>1070</v>
      </c>
      <c r="B452" s="1">
        <v>45075</v>
      </c>
      <c r="C452" t="s">
        <v>33</v>
      </c>
      <c r="D452" t="s">
        <v>25</v>
      </c>
      <c r="E452">
        <v>1108.74</v>
      </c>
      <c r="F452">
        <v>14</v>
      </c>
      <c r="G452" t="s">
        <v>16</v>
      </c>
      <c r="H452">
        <v>3796.79</v>
      </c>
      <c r="I452">
        <v>3947.5</v>
      </c>
      <c r="J452" t="s">
        <v>17</v>
      </c>
      <c r="K452">
        <v>0.24</v>
      </c>
      <c r="L452" t="s">
        <v>27</v>
      </c>
      <c r="M452" t="s">
        <v>19</v>
      </c>
      <c r="N452" t="s">
        <v>44</v>
      </c>
      <c r="O452">
        <f>Table2[[#This Row],[Unit_Cost]]*Table2[[#This Row],[Quantity_Sold]]</f>
        <v>53155.06</v>
      </c>
      <c r="P452">
        <f t="shared" si="7"/>
        <v>-52046.32</v>
      </c>
      <c r="Q452" s="3">
        <f>Table2[[#This Row],[Gross_Profit]]/Table2[[#This Row],[Sales_Amount]]</f>
        <v>-46.9418619333658</v>
      </c>
      <c r="R452" t="str">
        <f>TEXT(Table2[[#This Row],[Sale_Date]],"mmmm")</f>
        <v>May</v>
      </c>
      <c r="S452" s="4">
        <f>YEAR(Table2[[#This Row],[Sale_Date]])</f>
        <v>2023</v>
      </c>
    </row>
    <row r="453" spans="1:19" x14ac:dyDescent="0.35">
      <c r="A453">
        <v>1015</v>
      </c>
      <c r="B453" s="1">
        <v>45193</v>
      </c>
      <c r="C453" t="s">
        <v>14</v>
      </c>
      <c r="D453" t="s">
        <v>34</v>
      </c>
      <c r="E453">
        <v>182.37</v>
      </c>
      <c r="F453">
        <v>35</v>
      </c>
      <c r="G453" t="s">
        <v>29</v>
      </c>
      <c r="H453">
        <v>3461.15</v>
      </c>
      <c r="I453">
        <v>3631.75</v>
      </c>
      <c r="J453" t="s">
        <v>17</v>
      </c>
      <c r="K453">
        <v>0.27</v>
      </c>
      <c r="L453" t="s">
        <v>31</v>
      </c>
      <c r="M453" t="s">
        <v>19</v>
      </c>
      <c r="N453" t="s">
        <v>46</v>
      </c>
      <c r="O453">
        <f>Table2[[#This Row],[Unit_Cost]]*Table2[[#This Row],[Quantity_Sold]]</f>
        <v>121140.25</v>
      </c>
      <c r="P453">
        <f t="shared" si="7"/>
        <v>-120957.88</v>
      </c>
      <c r="Q453" s="3">
        <f>Table2[[#This Row],[Gross_Profit]]/Table2[[#This Row],[Sales_Amount]]</f>
        <v>-663.25535998245323</v>
      </c>
      <c r="R453" t="str">
        <f>TEXT(Table2[[#This Row],[Sale_Date]],"mmmm")</f>
        <v>September</v>
      </c>
      <c r="S453" s="4">
        <f>YEAR(Table2[[#This Row],[Sale_Date]])</f>
        <v>2023</v>
      </c>
    </row>
    <row r="454" spans="1:19" x14ac:dyDescent="0.35">
      <c r="A454">
        <v>1054</v>
      </c>
      <c r="B454" s="1">
        <v>45222</v>
      </c>
      <c r="C454" t="s">
        <v>24</v>
      </c>
      <c r="D454" t="s">
        <v>25</v>
      </c>
      <c r="E454">
        <v>4392.47</v>
      </c>
      <c r="F454">
        <v>48</v>
      </c>
      <c r="G454" t="s">
        <v>35</v>
      </c>
      <c r="H454">
        <v>4325.0200000000004</v>
      </c>
      <c r="I454">
        <v>4391.67</v>
      </c>
      <c r="J454" t="s">
        <v>17</v>
      </c>
      <c r="K454">
        <v>0.16</v>
      </c>
      <c r="L454" t="s">
        <v>31</v>
      </c>
      <c r="M454" t="s">
        <v>22</v>
      </c>
      <c r="N454" t="s">
        <v>28</v>
      </c>
      <c r="O454">
        <f>Table2[[#This Row],[Unit_Cost]]*Table2[[#This Row],[Quantity_Sold]]</f>
        <v>207600.96000000002</v>
      </c>
      <c r="P454">
        <f t="shared" si="7"/>
        <v>-203208.49000000002</v>
      </c>
      <c r="Q454" s="3">
        <f>Table2[[#This Row],[Gross_Profit]]/Table2[[#This Row],[Sales_Amount]]</f>
        <v>-46.262920406969201</v>
      </c>
      <c r="R454" t="str">
        <f>TEXT(Table2[[#This Row],[Sale_Date]],"mmmm")</f>
        <v>October</v>
      </c>
      <c r="S454" s="4">
        <f>YEAR(Table2[[#This Row],[Sale_Date]])</f>
        <v>2023</v>
      </c>
    </row>
    <row r="455" spans="1:19" x14ac:dyDescent="0.35">
      <c r="A455">
        <v>1060</v>
      </c>
      <c r="B455" s="1">
        <v>44937</v>
      </c>
      <c r="C455" t="s">
        <v>33</v>
      </c>
      <c r="D455" t="s">
        <v>21</v>
      </c>
      <c r="E455">
        <v>1016.99</v>
      </c>
      <c r="F455">
        <v>34</v>
      </c>
      <c r="G455" t="s">
        <v>35</v>
      </c>
      <c r="H455">
        <v>4984.21</v>
      </c>
      <c r="I455">
        <v>5184.6400000000003</v>
      </c>
      <c r="J455" t="s">
        <v>30</v>
      </c>
      <c r="K455">
        <v>0.17</v>
      </c>
      <c r="L455" t="s">
        <v>18</v>
      </c>
      <c r="M455" t="s">
        <v>19</v>
      </c>
      <c r="N455" t="s">
        <v>37</v>
      </c>
      <c r="O455">
        <f>Table2[[#This Row],[Unit_Cost]]*Table2[[#This Row],[Quantity_Sold]]</f>
        <v>169463.14</v>
      </c>
      <c r="P455">
        <f t="shared" si="7"/>
        <v>-168446.15000000002</v>
      </c>
      <c r="Q455" s="3">
        <f>Table2[[#This Row],[Gross_Profit]]/Table2[[#This Row],[Sales_Amount]]</f>
        <v>-165.63206127887199</v>
      </c>
      <c r="R455" t="str">
        <f>TEXT(Table2[[#This Row],[Sale_Date]],"mmmm")</f>
        <v>January</v>
      </c>
      <c r="S455" s="4">
        <f>YEAR(Table2[[#This Row],[Sale_Date]])</f>
        <v>2023</v>
      </c>
    </row>
    <row r="456" spans="1:19" x14ac:dyDescent="0.35">
      <c r="A456">
        <v>1097</v>
      </c>
      <c r="B456" s="1">
        <v>45090</v>
      </c>
      <c r="C456" t="s">
        <v>33</v>
      </c>
      <c r="D456" t="s">
        <v>34</v>
      </c>
      <c r="E456">
        <v>7509.01</v>
      </c>
      <c r="F456">
        <v>10</v>
      </c>
      <c r="G456" t="s">
        <v>16</v>
      </c>
      <c r="H456">
        <v>2162.9499999999998</v>
      </c>
      <c r="I456">
        <v>2191.1899999999901</v>
      </c>
      <c r="J456" t="s">
        <v>17</v>
      </c>
      <c r="K456">
        <v>0.2</v>
      </c>
      <c r="L456" t="s">
        <v>31</v>
      </c>
      <c r="M456" t="s">
        <v>19</v>
      </c>
      <c r="N456" t="s">
        <v>36</v>
      </c>
      <c r="O456">
        <f>Table2[[#This Row],[Unit_Cost]]*Table2[[#This Row],[Quantity_Sold]]</f>
        <v>21629.5</v>
      </c>
      <c r="P456">
        <f t="shared" si="7"/>
        <v>-14120.49</v>
      </c>
      <c r="Q456" s="3">
        <f>Table2[[#This Row],[Gross_Profit]]/Table2[[#This Row],[Sales_Amount]]</f>
        <v>-1.8804729251925354</v>
      </c>
      <c r="R456" t="str">
        <f>TEXT(Table2[[#This Row],[Sale_Date]],"mmmm")</f>
        <v>June</v>
      </c>
      <c r="S456" s="4">
        <f>YEAR(Table2[[#This Row],[Sale_Date]])</f>
        <v>2023</v>
      </c>
    </row>
    <row r="457" spans="1:19" x14ac:dyDescent="0.3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c r="O457">
        <f>Table2[[#This Row],[Unit_Cost]]*Table2[[#This Row],[Quantity_Sold]]</f>
        <v>21007</v>
      </c>
      <c r="P457">
        <f t="shared" si="7"/>
        <v>-11852.97</v>
      </c>
      <c r="Q457" s="3">
        <f>Table2[[#This Row],[Gross_Profit]]/Table2[[#This Row],[Sales_Amount]]</f>
        <v>-1.2948362633725254</v>
      </c>
      <c r="R457" t="str">
        <f>TEXT(Table2[[#This Row],[Sale_Date]],"mmmm")</f>
        <v>April</v>
      </c>
      <c r="S457" s="4">
        <f>YEAR(Table2[[#This Row],[Sale_Date]])</f>
        <v>2023</v>
      </c>
    </row>
    <row r="458" spans="1:19" x14ac:dyDescent="0.35">
      <c r="A458">
        <v>1053</v>
      </c>
      <c r="B458" s="1">
        <v>45113</v>
      </c>
      <c r="C458" t="s">
        <v>33</v>
      </c>
      <c r="D458" t="s">
        <v>34</v>
      </c>
      <c r="E458">
        <v>4396.8100000000004</v>
      </c>
      <c r="F458">
        <v>11</v>
      </c>
      <c r="G458" t="s">
        <v>35</v>
      </c>
      <c r="H458">
        <v>200.56</v>
      </c>
      <c r="I458">
        <v>540.38</v>
      </c>
      <c r="J458" t="s">
        <v>30</v>
      </c>
      <c r="K458">
        <v>0.18</v>
      </c>
      <c r="L458" t="s">
        <v>27</v>
      </c>
      <c r="M458" t="s">
        <v>19</v>
      </c>
      <c r="N458" t="s">
        <v>36</v>
      </c>
      <c r="O458">
        <f>Table2[[#This Row],[Unit_Cost]]*Table2[[#This Row],[Quantity_Sold]]</f>
        <v>2206.16</v>
      </c>
      <c r="P458">
        <f t="shared" si="7"/>
        <v>2190.6500000000005</v>
      </c>
      <c r="Q458" s="3">
        <f>Table2[[#This Row],[Gross_Profit]]/Table2[[#This Row],[Sales_Amount]]</f>
        <v>0.49823622126041389</v>
      </c>
      <c r="R458" t="str">
        <f>TEXT(Table2[[#This Row],[Sale_Date]],"mmmm")</f>
        <v>July</v>
      </c>
      <c r="S458" s="4">
        <f>YEAR(Table2[[#This Row],[Sale_Date]])</f>
        <v>2023</v>
      </c>
    </row>
    <row r="459" spans="1:19" x14ac:dyDescent="0.35">
      <c r="A459">
        <v>1060</v>
      </c>
      <c r="B459" s="1">
        <v>45221</v>
      </c>
      <c r="C459" t="s">
        <v>14</v>
      </c>
      <c r="D459" t="s">
        <v>15</v>
      </c>
      <c r="E459">
        <v>2661.25</v>
      </c>
      <c r="F459">
        <v>11</v>
      </c>
      <c r="G459" t="s">
        <v>16</v>
      </c>
      <c r="H459">
        <v>3648.04</v>
      </c>
      <c r="I459">
        <v>4143.51</v>
      </c>
      <c r="J459" t="s">
        <v>17</v>
      </c>
      <c r="K459">
        <v>0.17</v>
      </c>
      <c r="L459" t="s">
        <v>31</v>
      </c>
      <c r="M459" t="s">
        <v>22</v>
      </c>
      <c r="N459" t="s">
        <v>20</v>
      </c>
      <c r="O459">
        <f>Table2[[#This Row],[Unit_Cost]]*Table2[[#This Row],[Quantity_Sold]]</f>
        <v>40128.44</v>
      </c>
      <c r="P459">
        <f t="shared" si="7"/>
        <v>-37467.19</v>
      </c>
      <c r="Q459" s="3">
        <f>Table2[[#This Row],[Gross_Profit]]/Table2[[#This Row],[Sales_Amount]]</f>
        <v>-14.078793799906061</v>
      </c>
      <c r="R459" t="str">
        <f>TEXT(Table2[[#This Row],[Sale_Date]],"mmmm")</f>
        <v>October</v>
      </c>
      <c r="S459" s="4">
        <f>YEAR(Table2[[#This Row],[Sale_Date]])</f>
        <v>2023</v>
      </c>
    </row>
    <row r="460" spans="1:19" x14ac:dyDescent="0.35">
      <c r="A460">
        <v>1005</v>
      </c>
      <c r="B460" s="1">
        <v>45158</v>
      </c>
      <c r="C460" t="s">
        <v>14</v>
      </c>
      <c r="D460" t="s">
        <v>15</v>
      </c>
      <c r="E460">
        <v>4400.59</v>
      </c>
      <c r="F460">
        <v>21</v>
      </c>
      <c r="G460" t="s">
        <v>26</v>
      </c>
      <c r="H460">
        <v>4376.37</v>
      </c>
      <c r="I460">
        <v>4818.95</v>
      </c>
      <c r="J460" t="s">
        <v>30</v>
      </c>
      <c r="K460">
        <v>0</v>
      </c>
      <c r="L460" t="s">
        <v>31</v>
      </c>
      <c r="M460" t="s">
        <v>22</v>
      </c>
      <c r="N460" t="s">
        <v>20</v>
      </c>
      <c r="O460">
        <f>Table2[[#This Row],[Unit_Cost]]*Table2[[#This Row],[Quantity_Sold]]</f>
        <v>91903.77</v>
      </c>
      <c r="P460">
        <f t="shared" si="7"/>
        <v>-87503.180000000008</v>
      </c>
      <c r="Q460" s="3">
        <f>Table2[[#This Row],[Gross_Profit]]/Table2[[#This Row],[Sales_Amount]]</f>
        <v>-19.884420043675963</v>
      </c>
      <c r="R460" t="str">
        <f>TEXT(Table2[[#This Row],[Sale_Date]],"mmmm")</f>
        <v>August</v>
      </c>
      <c r="S460" s="4">
        <f>YEAR(Table2[[#This Row],[Sale_Date]])</f>
        <v>2023</v>
      </c>
    </row>
    <row r="461" spans="1:19" x14ac:dyDescent="0.35">
      <c r="A461">
        <v>1068</v>
      </c>
      <c r="B461" s="1">
        <v>45153</v>
      </c>
      <c r="C461" t="s">
        <v>42</v>
      </c>
      <c r="D461" t="s">
        <v>25</v>
      </c>
      <c r="E461">
        <v>7262.13</v>
      </c>
      <c r="F461">
        <v>21</v>
      </c>
      <c r="G461" t="s">
        <v>26</v>
      </c>
      <c r="H461">
        <v>1142.53</v>
      </c>
      <c r="I461">
        <v>1384.3</v>
      </c>
      <c r="J461" t="s">
        <v>17</v>
      </c>
      <c r="K461">
        <v>0.02</v>
      </c>
      <c r="L461" t="s">
        <v>31</v>
      </c>
      <c r="M461" t="s">
        <v>22</v>
      </c>
      <c r="N461" t="s">
        <v>43</v>
      </c>
      <c r="O461">
        <f>Table2[[#This Row],[Unit_Cost]]*Table2[[#This Row],[Quantity_Sold]]</f>
        <v>23993.13</v>
      </c>
      <c r="P461">
        <f t="shared" si="7"/>
        <v>-16731</v>
      </c>
      <c r="Q461" s="3">
        <f>Table2[[#This Row],[Gross_Profit]]/Table2[[#This Row],[Sales_Amount]]</f>
        <v>-2.3038695258829023</v>
      </c>
      <c r="R461" t="str">
        <f>TEXT(Table2[[#This Row],[Sale_Date]],"mmmm")</f>
        <v>August</v>
      </c>
      <c r="S461" s="4">
        <f>YEAR(Table2[[#This Row],[Sale_Date]])</f>
        <v>2023</v>
      </c>
    </row>
    <row r="462" spans="1:19" x14ac:dyDescent="0.35">
      <c r="A462">
        <v>1006</v>
      </c>
      <c r="B462" s="1">
        <v>45236</v>
      </c>
      <c r="C462" t="s">
        <v>14</v>
      </c>
      <c r="D462" t="s">
        <v>25</v>
      </c>
      <c r="E462">
        <v>189.64</v>
      </c>
      <c r="F462">
        <v>22</v>
      </c>
      <c r="G462" t="s">
        <v>26</v>
      </c>
      <c r="H462">
        <v>834.32</v>
      </c>
      <c r="I462">
        <v>1098.97</v>
      </c>
      <c r="J462" t="s">
        <v>17</v>
      </c>
      <c r="K462">
        <v>0.17</v>
      </c>
      <c r="L462" t="s">
        <v>18</v>
      </c>
      <c r="M462" t="s">
        <v>19</v>
      </c>
      <c r="N462" t="s">
        <v>32</v>
      </c>
      <c r="O462">
        <f>Table2[[#This Row],[Unit_Cost]]*Table2[[#This Row],[Quantity_Sold]]</f>
        <v>18355.04</v>
      </c>
      <c r="P462">
        <f t="shared" si="7"/>
        <v>-18165.400000000001</v>
      </c>
      <c r="Q462" s="3">
        <f>Table2[[#This Row],[Gross_Profit]]/Table2[[#This Row],[Sales_Amount]]</f>
        <v>-95.788863109048734</v>
      </c>
      <c r="R462" t="str">
        <f>TEXT(Table2[[#This Row],[Sale_Date]],"mmmm")</f>
        <v>November</v>
      </c>
      <c r="S462" s="4">
        <f>YEAR(Table2[[#This Row],[Sale_Date]])</f>
        <v>2023</v>
      </c>
    </row>
    <row r="463" spans="1:19" x14ac:dyDescent="0.35">
      <c r="A463">
        <v>1096</v>
      </c>
      <c r="B463" s="1">
        <v>45024</v>
      </c>
      <c r="C463" t="s">
        <v>33</v>
      </c>
      <c r="D463" t="s">
        <v>25</v>
      </c>
      <c r="E463">
        <v>5935.59</v>
      </c>
      <c r="F463">
        <v>45</v>
      </c>
      <c r="G463" t="s">
        <v>29</v>
      </c>
      <c r="H463">
        <v>357.92</v>
      </c>
      <c r="I463">
        <v>461.3</v>
      </c>
      <c r="J463" t="s">
        <v>17</v>
      </c>
      <c r="K463">
        <v>0.28000000000000003</v>
      </c>
      <c r="L463" t="s">
        <v>18</v>
      </c>
      <c r="M463" t="s">
        <v>19</v>
      </c>
      <c r="N463" t="s">
        <v>44</v>
      </c>
      <c r="O463">
        <f>Table2[[#This Row],[Unit_Cost]]*Table2[[#This Row],[Quantity_Sold]]</f>
        <v>16106.400000000001</v>
      </c>
      <c r="P463">
        <f t="shared" si="7"/>
        <v>-10170.810000000001</v>
      </c>
      <c r="Q463" s="3">
        <f>Table2[[#This Row],[Gross_Profit]]/Table2[[#This Row],[Sales_Amount]]</f>
        <v>-1.7135297417779869</v>
      </c>
      <c r="R463" t="str">
        <f>TEXT(Table2[[#This Row],[Sale_Date]],"mmmm")</f>
        <v>April</v>
      </c>
      <c r="S463" s="4">
        <f>YEAR(Table2[[#This Row],[Sale_Date]])</f>
        <v>2023</v>
      </c>
    </row>
    <row r="464" spans="1:19" x14ac:dyDescent="0.35">
      <c r="A464">
        <v>1094</v>
      </c>
      <c r="B464" s="1">
        <v>44981</v>
      </c>
      <c r="C464" t="s">
        <v>14</v>
      </c>
      <c r="D464" t="s">
        <v>21</v>
      </c>
      <c r="E464">
        <v>6171.59</v>
      </c>
      <c r="F464">
        <v>7</v>
      </c>
      <c r="G464" t="s">
        <v>16</v>
      </c>
      <c r="H464">
        <v>4122.38</v>
      </c>
      <c r="I464">
        <v>4358.78</v>
      </c>
      <c r="J464" t="s">
        <v>17</v>
      </c>
      <c r="K464">
        <v>0.26</v>
      </c>
      <c r="L464" t="s">
        <v>27</v>
      </c>
      <c r="M464" t="s">
        <v>22</v>
      </c>
      <c r="N464" t="s">
        <v>23</v>
      </c>
      <c r="O464">
        <f>Table2[[#This Row],[Unit_Cost]]*Table2[[#This Row],[Quantity_Sold]]</f>
        <v>28856.66</v>
      </c>
      <c r="P464">
        <f t="shared" si="7"/>
        <v>-22685.07</v>
      </c>
      <c r="Q464" s="3">
        <f>Table2[[#This Row],[Gross_Profit]]/Table2[[#This Row],[Sales_Amount]]</f>
        <v>-3.6757253803314867</v>
      </c>
      <c r="R464" t="str">
        <f>TEXT(Table2[[#This Row],[Sale_Date]],"mmmm")</f>
        <v>February</v>
      </c>
      <c r="S464" s="4">
        <f>YEAR(Table2[[#This Row],[Sale_Date]])</f>
        <v>2023</v>
      </c>
    </row>
    <row r="465" spans="1:19" x14ac:dyDescent="0.35">
      <c r="A465">
        <v>1047</v>
      </c>
      <c r="B465" s="1">
        <v>45037</v>
      </c>
      <c r="C465" t="s">
        <v>38</v>
      </c>
      <c r="D465" t="s">
        <v>21</v>
      </c>
      <c r="E465">
        <v>6413.11</v>
      </c>
      <c r="F465">
        <v>17</v>
      </c>
      <c r="G465" t="s">
        <v>16</v>
      </c>
      <c r="H465">
        <v>1591.34</v>
      </c>
      <c r="I465">
        <v>2043.82</v>
      </c>
      <c r="J465" t="s">
        <v>30</v>
      </c>
      <c r="K465">
        <v>0.28999999999999998</v>
      </c>
      <c r="L465" t="s">
        <v>18</v>
      </c>
      <c r="M465" t="s">
        <v>22</v>
      </c>
      <c r="N465" t="s">
        <v>41</v>
      </c>
      <c r="O465">
        <f>Table2[[#This Row],[Unit_Cost]]*Table2[[#This Row],[Quantity_Sold]]</f>
        <v>27052.78</v>
      </c>
      <c r="P465">
        <f t="shared" si="7"/>
        <v>-20639.669999999998</v>
      </c>
      <c r="Q465" s="3">
        <f>Table2[[#This Row],[Gross_Profit]]/Table2[[#This Row],[Sales_Amount]]</f>
        <v>-3.2183558367157277</v>
      </c>
      <c r="R465" t="str">
        <f>TEXT(Table2[[#This Row],[Sale_Date]],"mmmm")</f>
        <v>April</v>
      </c>
      <c r="S465" s="4">
        <f>YEAR(Table2[[#This Row],[Sale_Date]])</f>
        <v>2023</v>
      </c>
    </row>
    <row r="466" spans="1:19" x14ac:dyDescent="0.35">
      <c r="A466">
        <v>1099</v>
      </c>
      <c r="B466" s="1">
        <v>45078</v>
      </c>
      <c r="C466" t="s">
        <v>42</v>
      </c>
      <c r="D466" t="s">
        <v>25</v>
      </c>
      <c r="E466">
        <v>2496.02</v>
      </c>
      <c r="F466">
        <v>2</v>
      </c>
      <c r="G466" t="s">
        <v>35</v>
      </c>
      <c r="H466">
        <v>2038.4</v>
      </c>
      <c r="I466">
        <v>2073.3200000000002</v>
      </c>
      <c r="J466" t="s">
        <v>30</v>
      </c>
      <c r="K466">
        <v>0.16</v>
      </c>
      <c r="L466" t="s">
        <v>18</v>
      </c>
      <c r="M466" t="s">
        <v>22</v>
      </c>
      <c r="N466" t="s">
        <v>43</v>
      </c>
      <c r="O466">
        <f>Table2[[#This Row],[Unit_Cost]]*Table2[[#This Row],[Quantity_Sold]]</f>
        <v>4076.8</v>
      </c>
      <c r="P466">
        <f t="shared" si="7"/>
        <v>-1580.7800000000002</v>
      </c>
      <c r="Q466" s="3">
        <f>Table2[[#This Row],[Gross_Profit]]/Table2[[#This Row],[Sales_Amount]]</f>
        <v>-0.63332024583136359</v>
      </c>
      <c r="R466" t="str">
        <f>TEXT(Table2[[#This Row],[Sale_Date]],"mmmm")</f>
        <v>June</v>
      </c>
      <c r="S466" s="4">
        <f>YEAR(Table2[[#This Row],[Sale_Date]])</f>
        <v>2023</v>
      </c>
    </row>
    <row r="467" spans="1:19" x14ac:dyDescent="0.35">
      <c r="A467">
        <v>1055</v>
      </c>
      <c r="B467" s="1">
        <v>45172</v>
      </c>
      <c r="C467" t="s">
        <v>33</v>
      </c>
      <c r="D467" t="s">
        <v>21</v>
      </c>
      <c r="E467">
        <v>7169.12</v>
      </c>
      <c r="F467">
        <v>12</v>
      </c>
      <c r="G467" t="s">
        <v>35</v>
      </c>
      <c r="H467">
        <v>2538.61</v>
      </c>
      <c r="I467">
        <v>2971.75</v>
      </c>
      <c r="J467" t="s">
        <v>17</v>
      </c>
      <c r="K467">
        <v>0.24</v>
      </c>
      <c r="L467" t="s">
        <v>18</v>
      </c>
      <c r="M467" t="s">
        <v>19</v>
      </c>
      <c r="N467" t="s">
        <v>37</v>
      </c>
      <c r="O467">
        <f>Table2[[#This Row],[Unit_Cost]]*Table2[[#This Row],[Quantity_Sold]]</f>
        <v>30463.32</v>
      </c>
      <c r="P467">
        <f t="shared" si="7"/>
        <v>-23294.2</v>
      </c>
      <c r="Q467" s="3">
        <f>Table2[[#This Row],[Gross_Profit]]/Table2[[#This Row],[Sales_Amount]]</f>
        <v>-3.2492411899926354</v>
      </c>
      <c r="R467" t="str">
        <f>TEXT(Table2[[#This Row],[Sale_Date]],"mmmm")</f>
        <v>September</v>
      </c>
      <c r="S467" s="4">
        <f>YEAR(Table2[[#This Row],[Sale_Date]])</f>
        <v>2023</v>
      </c>
    </row>
    <row r="468" spans="1:19" x14ac:dyDescent="0.35">
      <c r="A468">
        <v>1040</v>
      </c>
      <c r="B468" s="1">
        <v>44995</v>
      </c>
      <c r="C468" t="s">
        <v>42</v>
      </c>
      <c r="D468" t="s">
        <v>34</v>
      </c>
      <c r="E468">
        <v>1004.78</v>
      </c>
      <c r="F468">
        <v>42</v>
      </c>
      <c r="G468" t="s">
        <v>35</v>
      </c>
      <c r="H468">
        <v>4205.29</v>
      </c>
      <c r="I468">
        <v>4382.3500000000004</v>
      </c>
      <c r="J468" t="s">
        <v>30</v>
      </c>
      <c r="K468">
        <v>0.25</v>
      </c>
      <c r="L468" t="s">
        <v>18</v>
      </c>
      <c r="M468" t="s">
        <v>22</v>
      </c>
      <c r="N468" t="s">
        <v>52</v>
      </c>
      <c r="O468">
        <f>Table2[[#This Row],[Unit_Cost]]*Table2[[#This Row],[Quantity_Sold]]</f>
        <v>176622.18</v>
      </c>
      <c r="P468">
        <f t="shared" si="7"/>
        <v>-175617.4</v>
      </c>
      <c r="Q468" s="3">
        <f>Table2[[#This Row],[Gross_Profit]]/Table2[[#This Row],[Sales_Amount]]</f>
        <v>-174.78194231573082</v>
      </c>
      <c r="R468" t="str">
        <f>TEXT(Table2[[#This Row],[Sale_Date]],"mmmm")</f>
        <v>March</v>
      </c>
      <c r="S468" s="4">
        <f>YEAR(Table2[[#This Row],[Sale_Date]])</f>
        <v>2023</v>
      </c>
    </row>
    <row r="469" spans="1:19" x14ac:dyDescent="0.35">
      <c r="A469">
        <v>1052</v>
      </c>
      <c r="B469" s="1">
        <v>45238</v>
      </c>
      <c r="C469" t="s">
        <v>33</v>
      </c>
      <c r="D469" t="s">
        <v>34</v>
      </c>
      <c r="E469">
        <v>2072.7800000000002</v>
      </c>
      <c r="F469">
        <v>18</v>
      </c>
      <c r="G469" t="s">
        <v>16</v>
      </c>
      <c r="H469">
        <v>3271.62</v>
      </c>
      <c r="I469">
        <v>3722.38</v>
      </c>
      <c r="J469" t="s">
        <v>17</v>
      </c>
      <c r="K469">
        <v>0.19</v>
      </c>
      <c r="L469" t="s">
        <v>27</v>
      </c>
      <c r="M469" t="s">
        <v>22</v>
      </c>
      <c r="N469" t="s">
        <v>36</v>
      </c>
      <c r="O469">
        <f>Table2[[#This Row],[Unit_Cost]]*Table2[[#This Row],[Quantity_Sold]]</f>
        <v>58889.159999999996</v>
      </c>
      <c r="P469">
        <f t="shared" si="7"/>
        <v>-56816.38</v>
      </c>
      <c r="Q469" s="3">
        <f>Table2[[#This Row],[Gross_Profit]]/Table2[[#This Row],[Sales_Amount]]</f>
        <v>-27.410714113412901</v>
      </c>
      <c r="R469" t="str">
        <f>TEXT(Table2[[#This Row],[Sale_Date]],"mmmm")</f>
        <v>November</v>
      </c>
      <c r="S469" s="4">
        <f>YEAR(Table2[[#This Row],[Sale_Date]])</f>
        <v>2023</v>
      </c>
    </row>
    <row r="470" spans="1:19" x14ac:dyDescent="0.35">
      <c r="A470">
        <v>1016</v>
      </c>
      <c r="B470" s="1">
        <v>45215</v>
      </c>
      <c r="C470" t="s">
        <v>38</v>
      </c>
      <c r="D470" t="s">
        <v>21</v>
      </c>
      <c r="E470">
        <v>8786.9500000000007</v>
      </c>
      <c r="F470">
        <v>11</v>
      </c>
      <c r="G470" t="s">
        <v>35</v>
      </c>
      <c r="H470">
        <v>3094.57</v>
      </c>
      <c r="I470">
        <v>3565.6</v>
      </c>
      <c r="J470" t="s">
        <v>17</v>
      </c>
      <c r="K470">
        <v>0.1</v>
      </c>
      <c r="L470" t="s">
        <v>31</v>
      </c>
      <c r="M470" t="s">
        <v>22</v>
      </c>
      <c r="N470" t="s">
        <v>41</v>
      </c>
      <c r="O470">
        <f>Table2[[#This Row],[Unit_Cost]]*Table2[[#This Row],[Quantity_Sold]]</f>
        <v>34040.270000000004</v>
      </c>
      <c r="P470">
        <f t="shared" si="7"/>
        <v>-25253.320000000003</v>
      </c>
      <c r="Q470" s="3">
        <f>Table2[[#This Row],[Gross_Profit]]/Table2[[#This Row],[Sales_Amount]]</f>
        <v>-2.8739574027392898</v>
      </c>
      <c r="R470" t="str">
        <f>TEXT(Table2[[#This Row],[Sale_Date]],"mmmm")</f>
        <v>October</v>
      </c>
      <c r="S470" s="4">
        <f>YEAR(Table2[[#This Row],[Sale_Date]])</f>
        <v>2023</v>
      </c>
    </row>
    <row r="471" spans="1:19" x14ac:dyDescent="0.35">
      <c r="A471">
        <v>1013</v>
      </c>
      <c r="B471" s="1">
        <v>45176</v>
      </c>
      <c r="C471" t="s">
        <v>42</v>
      </c>
      <c r="D471" t="s">
        <v>21</v>
      </c>
      <c r="E471">
        <v>7413.36</v>
      </c>
      <c r="F471">
        <v>16</v>
      </c>
      <c r="G471" t="s">
        <v>16</v>
      </c>
      <c r="H471">
        <v>919.58</v>
      </c>
      <c r="I471">
        <v>1258.3</v>
      </c>
      <c r="J471" t="s">
        <v>17</v>
      </c>
      <c r="K471">
        <v>0.14000000000000001</v>
      </c>
      <c r="L471" t="s">
        <v>27</v>
      </c>
      <c r="M471" t="s">
        <v>19</v>
      </c>
      <c r="N471" t="s">
        <v>51</v>
      </c>
      <c r="O471">
        <f>Table2[[#This Row],[Unit_Cost]]*Table2[[#This Row],[Quantity_Sold]]</f>
        <v>14713.28</v>
      </c>
      <c r="P471">
        <f t="shared" si="7"/>
        <v>-7299.920000000001</v>
      </c>
      <c r="Q471" s="3">
        <f>Table2[[#This Row],[Gross_Profit]]/Table2[[#This Row],[Sales_Amount]]</f>
        <v>-0.98469789677015573</v>
      </c>
      <c r="R471" t="str">
        <f>TEXT(Table2[[#This Row],[Sale_Date]],"mmmm")</f>
        <v>September</v>
      </c>
      <c r="S471" s="4">
        <f>YEAR(Table2[[#This Row],[Sale_Date]])</f>
        <v>2023</v>
      </c>
    </row>
    <row r="472" spans="1:19" x14ac:dyDescent="0.35">
      <c r="A472">
        <v>1030</v>
      </c>
      <c r="B472" s="1">
        <v>44962</v>
      </c>
      <c r="C472" t="s">
        <v>24</v>
      </c>
      <c r="D472" t="s">
        <v>34</v>
      </c>
      <c r="E472">
        <v>236.08</v>
      </c>
      <c r="F472">
        <v>49</v>
      </c>
      <c r="G472" t="s">
        <v>16</v>
      </c>
      <c r="H472">
        <v>2590.29</v>
      </c>
      <c r="I472">
        <v>2925.86</v>
      </c>
      <c r="J472" t="s">
        <v>17</v>
      </c>
      <c r="K472">
        <v>0.26</v>
      </c>
      <c r="L472" t="s">
        <v>18</v>
      </c>
      <c r="M472" t="s">
        <v>22</v>
      </c>
      <c r="N472" t="s">
        <v>50</v>
      </c>
      <c r="O472">
        <f>Table2[[#This Row],[Unit_Cost]]*Table2[[#This Row],[Quantity_Sold]]</f>
        <v>126924.20999999999</v>
      </c>
      <c r="P472">
        <f t="shared" si="7"/>
        <v>-126688.12999999999</v>
      </c>
      <c r="Q472" s="3">
        <f>Table2[[#This Row],[Gross_Profit]]/Table2[[#This Row],[Sales_Amount]]</f>
        <v>-536.63220094883081</v>
      </c>
      <c r="R472" t="str">
        <f>TEXT(Table2[[#This Row],[Sale_Date]],"mmmm")</f>
        <v>February</v>
      </c>
      <c r="S472" s="4">
        <f>YEAR(Table2[[#This Row],[Sale_Date]])</f>
        <v>2023</v>
      </c>
    </row>
    <row r="473" spans="1:19" x14ac:dyDescent="0.35">
      <c r="A473">
        <v>1019</v>
      </c>
      <c r="B473" s="1">
        <v>45165</v>
      </c>
      <c r="C473" t="s">
        <v>33</v>
      </c>
      <c r="D473" t="s">
        <v>15</v>
      </c>
      <c r="E473">
        <v>2558.92</v>
      </c>
      <c r="F473">
        <v>18</v>
      </c>
      <c r="G473" t="s">
        <v>26</v>
      </c>
      <c r="H473">
        <v>3591.14</v>
      </c>
      <c r="I473">
        <v>3822.99</v>
      </c>
      <c r="J473" t="s">
        <v>17</v>
      </c>
      <c r="K473">
        <v>0.09</v>
      </c>
      <c r="L473" t="s">
        <v>31</v>
      </c>
      <c r="M473" t="s">
        <v>19</v>
      </c>
      <c r="N473" t="s">
        <v>53</v>
      </c>
      <c r="O473">
        <f>Table2[[#This Row],[Unit_Cost]]*Table2[[#This Row],[Quantity_Sold]]</f>
        <v>64640.52</v>
      </c>
      <c r="P473">
        <f t="shared" si="7"/>
        <v>-62081.599999999999</v>
      </c>
      <c r="Q473" s="3">
        <f>Table2[[#This Row],[Gross_Profit]]/Table2[[#This Row],[Sales_Amount]]</f>
        <v>-24.260860050333733</v>
      </c>
      <c r="R473" t="str">
        <f>TEXT(Table2[[#This Row],[Sale_Date]],"mmmm")</f>
        <v>August</v>
      </c>
      <c r="S473" s="4">
        <f>YEAR(Table2[[#This Row],[Sale_Date]])</f>
        <v>2023</v>
      </c>
    </row>
    <row r="474" spans="1:19" x14ac:dyDescent="0.3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c r="O474">
        <f>Table2[[#This Row],[Unit_Cost]]*Table2[[#This Row],[Quantity_Sold]]</f>
        <v>170367.40000000002</v>
      </c>
      <c r="P474">
        <f t="shared" si="7"/>
        <v>-168144.78000000003</v>
      </c>
      <c r="Q474" s="3">
        <f>Table2[[#This Row],[Gross_Profit]]/Table2[[#This Row],[Sales_Amount]]</f>
        <v>-75.65160936192423</v>
      </c>
      <c r="R474" t="str">
        <f>TEXT(Table2[[#This Row],[Sale_Date]],"mmmm")</f>
        <v>May</v>
      </c>
      <c r="S474" s="4">
        <f>YEAR(Table2[[#This Row],[Sale_Date]])</f>
        <v>2023</v>
      </c>
    </row>
    <row r="475" spans="1:19" x14ac:dyDescent="0.35">
      <c r="A475">
        <v>1063</v>
      </c>
      <c r="B475" s="1">
        <v>45153</v>
      </c>
      <c r="C475" t="s">
        <v>42</v>
      </c>
      <c r="D475" t="s">
        <v>34</v>
      </c>
      <c r="E475">
        <v>2780.98</v>
      </c>
      <c r="F475">
        <v>26</v>
      </c>
      <c r="G475" t="s">
        <v>26</v>
      </c>
      <c r="H475">
        <v>1046.96</v>
      </c>
      <c r="I475">
        <v>1528.15</v>
      </c>
      <c r="J475" t="s">
        <v>30</v>
      </c>
      <c r="K475">
        <v>7.0000000000000007E-2</v>
      </c>
      <c r="L475" t="s">
        <v>31</v>
      </c>
      <c r="M475" t="s">
        <v>22</v>
      </c>
      <c r="N475" t="s">
        <v>52</v>
      </c>
      <c r="O475">
        <f>Table2[[#This Row],[Unit_Cost]]*Table2[[#This Row],[Quantity_Sold]]</f>
        <v>27220.959999999999</v>
      </c>
      <c r="P475">
        <f t="shared" si="7"/>
        <v>-24439.98</v>
      </c>
      <c r="Q475" s="3">
        <f>Table2[[#This Row],[Gross_Profit]]/Table2[[#This Row],[Sales_Amount]]</f>
        <v>-8.7882616919215533</v>
      </c>
      <c r="R475" t="str">
        <f>TEXT(Table2[[#This Row],[Sale_Date]],"mmmm")</f>
        <v>August</v>
      </c>
      <c r="S475" s="4">
        <f>YEAR(Table2[[#This Row],[Sale_Date]])</f>
        <v>2023</v>
      </c>
    </row>
    <row r="476" spans="1:19" x14ac:dyDescent="0.35">
      <c r="A476">
        <v>1019</v>
      </c>
      <c r="B476" s="1">
        <v>45170</v>
      </c>
      <c r="C476" t="s">
        <v>24</v>
      </c>
      <c r="D476" t="s">
        <v>21</v>
      </c>
      <c r="E476">
        <v>2550.84</v>
      </c>
      <c r="F476">
        <v>16</v>
      </c>
      <c r="G476" t="s">
        <v>29</v>
      </c>
      <c r="H476">
        <v>97.24</v>
      </c>
      <c r="I476">
        <v>487.03</v>
      </c>
      <c r="J476" t="s">
        <v>30</v>
      </c>
      <c r="K476">
        <v>0.22</v>
      </c>
      <c r="L476" t="s">
        <v>27</v>
      </c>
      <c r="M476" t="s">
        <v>22</v>
      </c>
      <c r="N476" t="s">
        <v>47</v>
      </c>
      <c r="O476">
        <f>Table2[[#This Row],[Unit_Cost]]*Table2[[#This Row],[Quantity_Sold]]</f>
        <v>1555.84</v>
      </c>
      <c r="P476">
        <f t="shared" si="7"/>
        <v>995.00000000000023</v>
      </c>
      <c r="Q476" s="3">
        <f>Table2[[#This Row],[Gross_Profit]]/Table2[[#This Row],[Sales_Amount]]</f>
        <v>0.39006758557965227</v>
      </c>
      <c r="R476" t="str">
        <f>TEXT(Table2[[#This Row],[Sale_Date]],"mmmm")</f>
        <v>September</v>
      </c>
      <c r="S476" s="4">
        <f>YEAR(Table2[[#This Row],[Sale_Date]])</f>
        <v>2023</v>
      </c>
    </row>
    <row r="477" spans="1:19" x14ac:dyDescent="0.35">
      <c r="A477">
        <v>1092</v>
      </c>
      <c r="B477" s="1">
        <v>45263</v>
      </c>
      <c r="C477" t="s">
        <v>24</v>
      </c>
      <c r="D477" t="s">
        <v>34</v>
      </c>
      <c r="E477">
        <v>719.01</v>
      </c>
      <c r="F477">
        <v>6</v>
      </c>
      <c r="G477" t="s">
        <v>29</v>
      </c>
      <c r="H477">
        <v>422.74</v>
      </c>
      <c r="I477">
        <v>737.49</v>
      </c>
      <c r="J477" t="s">
        <v>17</v>
      </c>
      <c r="K477">
        <v>0.19</v>
      </c>
      <c r="L477" t="s">
        <v>31</v>
      </c>
      <c r="M477" t="s">
        <v>22</v>
      </c>
      <c r="N477" t="s">
        <v>50</v>
      </c>
      <c r="O477">
        <f>Table2[[#This Row],[Unit_Cost]]*Table2[[#This Row],[Quantity_Sold]]</f>
        <v>2536.44</v>
      </c>
      <c r="P477">
        <f t="shared" si="7"/>
        <v>-1817.43</v>
      </c>
      <c r="Q477" s="3">
        <f>Table2[[#This Row],[Gross_Profit]]/Table2[[#This Row],[Sales_Amount]]</f>
        <v>-2.5276838986940375</v>
      </c>
      <c r="R477" t="str">
        <f>TEXT(Table2[[#This Row],[Sale_Date]],"mmmm")</f>
        <v>December</v>
      </c>
      <c r="S477" s="4">
        <f>YEAR(Table2[[#This Row],[Sale_Date]])</f>
        <v>2023</v>
      </c>
    </row>
    <row r="478" spans="1:19" x14ac:dyDescent="0.35">
      <c r="A478">
        <v>1058</v>
      </c>
      <c r="B478" s="1">
        <v>45291</v>
      </c>
      <c r="C478" t="s">
        <v>42</v>
      </c>
      <c r="D478" t="s">
        <v>21</v>
      </c>
      <c r="E478">
        <v>4643.51</v>
      </c>
      <c r="F478">
        <v>44</v>
      </c>
      <c r="G478" t="s">
        <v>29</v>
      </c>
      <c r="H478">
        <v>1910.47</v>
      </c>
      <c r="I478">
        <v>2217.8000000000002</v>
      </c>
      <c r="J478" t="s">
        <v>30</v>
      </c>
      <c r="K478">
        <v>0.22</v>
      </c>
      <c r="L478" t="s">
        <v>27</v>
      </c>
      <c r="M478" t="s">
        <v>19</v>
      </c>
      <c r="N478" t="s">
        <v>51</v>
      </c>
      <c r="O478">
        <f>Table2[[#This Row],[Unit_Cost]]*Table2[[#This Row],[Quantity_Sold]]</f>
        <v>84060.680000000008</v>
      </c>
      <c r="P478">
        <f t="shared" si="7"/>
        <v>-79417.170000000013</v>
      </c>
      <c r="Q478" s="3">
        <f>Table2[[#This Row],[Gross_Profit]]/Table2[[#This Row],[Sales_Amount]]</f>
        <v>-17.102831694127936</v>
      </c>
      <c r="R478" t="str">
        <f>TEXT(Table2[[#This Row],[Sale_Date]],"mmmm")</f>
        <v>December</v>
      </c>
      <c r="S478" s="4">
        <f>YEAR(Table2[[#This Row],[Sale_Date]])</f>
        <v>2023</v>
      </c>
    </row>
    <row r="479" spans="1:19" x14ac:dyDescent="0.35">
      <c r="A479">
        <v>1055</v>
      </c>
      <c r="B479" s="1">
        <v>45127</v>
      </c>
      <c r="C479" t="s">
        <v>38</v>
      </c>
      <c r="D479" t="s">
        <v>21</v>
      </c>
      <c r="E479">
        <v>7354.06</v>
      </c>
      <c r="F479">
        <v>43</v>
      </c>
      <c r="G479" t="s">
        <v>16</v>
      </c>
      <c r="H479">
        <v>4111.7</v>
      </c>
      <c r="I479">
        <v>4537.9399999999996</v>
      </c>
      <c r="J479" t="s">
        <v>17</v>
      </c>
      <c r="K479">
        <v>0.13</v>
      </c>
      <c r="L479" t="s">
        <v>27</v>
      </c>
      <c r="M479" t="s">
        <v>19</v>
      </c>
      <c r="N479" t="s">
        <v>41</v>
      </c>
      <c r="O479">
        <f>Table2[[#This Row],[Unit_Cost]]*Table2[[#This Row],[Quantity_Sold]]</f>
        <v>176803.1</v>
      </c>
      <c r="P479">
        <f t="shared" si="7"/>
        <v>-169449.04</v>
      </c>
      <c r="Q479" s="3">
        <f>Table2[[#This Row],[Gross_Profit]]/Table2[[#This Row],[Sales_Amount]]</f>
        <v>-23.041563435707623</v>
      </c>
      <c r="R479" t="str">
        <f>TEXT(Table2[[#This Row],[Sale_Date]],"mmmm")</f>
        <v>July</v>
      </c>
      <c r="S479" s="4">
        <f>YEAR(Table2[[#This Row],[Sale_Date]])</f>
        <v>2023</v>
      </c>
    </row>
    <row r="480" spans="1:19" x14ac:dyDescent="0.35">
      <c r="A480">
        <v>1090</v>
      </c>
      <c r="B480" s="1">
        <v>45080</v>
      </c>
      <c r="C480" t="s">
        <v>24</v>
      </c>
      <c r="D480" t="s">
        <v>25</v>
      </c>
      <c r="E480">
        <v>6106.64</v>
      </c>
      <c r="F480">
        <v>47</v>
      </c>
      <c r="G480" t="s">
        <v>16</v>
      </c>
      <c r="H480">
        <v>85.35</v>
      </c>
      <c r="I480">
        <v>360.539999999999</v>
      </c>
      <c r="J480" t="s">
        <v>30</v>
      </c>
      <c r="K480">
        <v>0.28000000000000003</v>
      </c>
      <c r="L480" t="s">
        <v>18</v>
      </c>
      <c r="M480" t="s">
        <v>19</v>
      </c>
      <c r="N480" t="s">
        <v>28</v>
      </c>
      <c r="O480">
        <f>Table2[[#This Row],[Unit_Cost]]*Table2[[#This Row],[Quantity_Sold]]</f>
        <v>4011.45</v>
      </c>
      <c r="P480">
        <f t="shared" si="7"/>
        <v>2095.1900000000005</v>
      </c>
      <c r="Q480" s="3">
        <f>Table2[[#This Row],[Gross_Profit]]/Table2[[#This Row],[Sales_Amount]]</f>
        <v>0.34310029738121134</v>
      </c>
      <c r="R480" t="str">
        <f>TEXT(Table2[[#This Row],[Sale_Date]],"mmmm")</f>
        <v>June</v>
      </c>
      <c r="S480" s="4">
        <f>YEAR(Table2[[#This Row],[Sale_Date]])</f>
        <v>2023</v>
      </c>
    </row>
    <row r="481" spans="1:19" x14ac:dyDescent="0.35">
      <c r="A481">
        <v>1090</v>
      </c>
      <c r="B481" s="1">
        <v>44999</v>
      </c>
      <c r="C481" t="s">
        <v>24</v>
      </c>
      <c r="D481" t="s">
        <v>34</v>
      </c>
      <c r="E481">
        <v>6761.43</v>
      </c>
      <c r="F481">
        <v>47</v>
      </c>
      <c r="G481" t="s">
        <v>16</v>
      </c>
      <c r="H481">
        <v>2310.8200000000002</v>
      </c>
      <c r="I481">
        <v>2714.71</v>
      </c>
      <c r="J481" t="s">
        <v>30</v>
      </c>
      <c r="K481">
        <v>0.19</v>
      </c>
      <c r="L481" t="s">
        <v>18</v>
      </c>
      <c r="M481" t="s">
        <v>22</v>
      </c>
      <c r="N481" t="s">
        <v>50</v>
      </c>
      <c r="O481">
        <f>Table2[[#This Row],[Unit_Cost]]*Table2[[#This Row],[Quantity_Sold]]</f>
        <v>108608.54000000001</v>
      </c>
      <c r="P481">
        <f t="shared" si="7"/>
        <v>-101847.11000000002</v>
      </c>
      <c r="Q481" s="3">
        <f>Table2[[#This Row],[Gross_Profit]]/Table2[[#This Row],[Sales_Amount]]</f>
        <v>-15.06295413839972</v>
      </c>
      <c r="R481" t="str">
        <f>TEXT(Table2[[#This Row],[Sale_Date]],"mmmm")</f>
        <v>March</v>
      </c>
      <c r="S481" s="4">
        <f>YEAR(Table2[[#This Row],[Sale_Date]])</f>
        <v>2023</v>
      </c>
    </row>
    <row r="482" spans="1:19" x14ac:dyDescent="0.35">
      <c r="A482">
        <v>1062</v>
      </c>
      <c r="B482" s="1">
        <v>45127</v>
      </c>
      <c r="C482" t="s">
        <v>38</v>
      </c>
      <c r="D482" t="s">
        <v>15</v>
      </c>
      <c r="E482">
        <v>903.38</v>
      </c>
      <c r="F482">
        <v>48</v>
      </c>
      <c r="G482" t="s">
        <v>35</v>
      </c>
      <c r="H482">
        <v>1679.69</v>
      </c>
      <c r="I482">
        <v>1939.04</v>
      </c>
      <c r="J482" t="s">
        <v>30</v>
      </c>
      <c r="K482">
        <v>0.09</v>
      </c>
      <c r="L482" t="s">
        <v>31</v>
      </c>
      <c r="M482" t="s">
        <v>19</v>
      </c>
      <c r="N482" t="s">
        <v>40</v>
      </c>
      <c r="O482">
        <f>Table2[[#This Row],[Unit_Cost]]*Table2[[#This Row],[Quantity_Sold]]</f>
        <v>80625.119999999995</v>
      </c>
      <c r="P482">
        <f t="shared" si="7"/>
        <v>-79721.739999999991</v>
      </c>
      <c r="Q482" s="3">
        <f>Table2[[#This Row],[Gross_Profit]]/Table2[[#This Row],[Sales_Amount]]</f>
        <v>-88.248289756248738</v>
      </c>
      <c r="R482" t="str">
        <f>TEXT(Table2[[#This Row],[Sale_Date]],"mmmm")</f>
        <v>July</v>
      </c>
      <c r="S482" s="4">
        <f>YEAR(Table2[[#This Row],[Sale_Date]])</f>
        <v>2023</v>
      </c>
    </row>
    <row r="483" spans="1:19" x14ac:dyDescent="0.35">
      <c r="A483">
        <v>1023</v>
      </c>
      <c r="B483" s="1">
        <v>45222</v>
      </c>
      <c r="C483" t="s">
        <v>24</v>
      </c>
      <c r="D483" t="s">
        <v>25</v>
      </c>
      <c r="E483">
        <v>9519.76</v>
      </c>
      <c r="F483">
        <v>42</v>
      </c>
      <c r="G483" t="s">
        <v>26</v>
      </c>
      <c r="H483">
        <v>309.77999999999997</v>
      </c>
      <c r="I483">
        <v>350.38</v>
      </c>
      <c r="J483" t="s">
        <v>17</v>
      </c>
      <c r="K483">
        <v>0.19</v>
      </c>
      <c r="L483" t="s">
        <v>31</v>
      </c>
      <c r="M483" t="s">
        <v>22</v>
      </c>
      <c r="N483" t="s">
        <v>28</v>
      </c>
      <c r="O483">
        <f>Table2[[#This Row],[Unit_Cost]]*Table2[[#This Row],[Quantity_Sold]]</f>
        <v>13010.759999999998</v>
      </c>
      <c r="P483">
        <f t="shared" si="7"/>
        <v>-3490.9999999999982</v>
      </c>
      <c r="Q483" s="3">
        <f>Table2[[#This Row],[Gross_Profit]]/Table2[[#This Row],[Sales_Amount]]</f>
        <v>-0.36671092548551626</v>
      </c>
      <c r="R483" t="str">
        <f>TEXT(Table2[[#This Row],[Sale_Date]],"mmmm")</f>
        <v>October</v>
      </c>
      <c r="S483" s="4">
        <f>YEAR(Table2[[#This Row],[Sale_Date]])</f>
        <v>2023</v>
      </c>
    </row>
    <row r="484" spans="1:19" x14ac:dyDescent="0.35">
      <c r="A484">
        <v>1009</v>
      </c>
      <c r="B484" s="1">
        <v>44943</v>
      </c>
      <c r="C484" t="s">
        <v>24</v>
      </c>
      <c r="D484" t="s">
        <v>21</v>
      </c>
      <c r="E484">
        <v>8401.07</v>
      </c>
      <c r="F484">
        <v>12</v>
      </c>
      <c r="G484" t="s">
        <v>16</v>
      </c>
      <c r="H484">
        <v>2278.67</v>
      </c>
      <c r="I484">
        <v>2476.8000000000002</v>
      </c>
      <c r="J484" t="s">
        <v>30</v>
      </c>
      <c r="K484">
        <v>0.09</v>
      </c>
      <c r="L484" t="s">
        <v>18</v>
      </c>
      <c r="M484" t="s">
        <v>22</v>
      </c>
      <c r="N484" t="s">
        <v>47</v>
      </c>
      <c r="O484">
        <f>Table2[[#This Row],[Unit_Cost]]*Table2[[#This Row],[Quantity_Sold]]</f>
        <v>27344.04</v>
      </c>
      <c r="P484">
        <f t="shared" si="7"/>
        <v>-18942.97</v>
      </c>
      <c r="Q484" s="3">
        <f>Table2[[#This Row],[Gross_Profit]]/Table2[[#This Row],[Sales_Amount]]</f>
        <v>-2.254828254020024</v>
      </c>
      <c r="R484" t="str">
        <f>TEXT(Table2[[#This Row],[Sale_Date]],"mmmm")</f>
        <v>January</v>
      </c>
      <c r="S484" s="4">
        <f>YEAR(Table2[[#This Row],[Sale_Date]])</f>
        <v>2023</v>
      </c>
    </row>
    <row r="485" spans="1:19" x14ac:dyDescent="0.35">
      <c r="A485">
        <v>1012</v>
      </c>
      <c r="B485" s="1">
        <v>45055</v>
      </c>
      <c r="C485" t="s">
        <v>24</v>
      </c>
      <c r="D485" t="s">
        <v>21</v>
      </c>
      <c r="E485">
        <v>8070.39</v>
      </c>
      <c r="F485">
        <v>13</v>
      </c>
      <c r="G485" t="s">
        <v>26</v>
      </c>
      <c r="H485">
        <v>1311.01</v>
      </c>
      <c r="I485">
        <v>1538.79</v>
      </c>
      <c r="J485" t="s">
        <v>17</v>
      </c>
      <c r="K485">
        <v>0.09</v>
      </c>
      <c r="L485" t="s">
        <v>27</v>
      </c>
      <c r="M485" t="s">
        <v>22</v>
      </c>
      <c r="N485" t="s">
        <v>47</v>
      </c>
      <c r="O485">
        <f>Table2[[#This Row],[Unit_Cost]]*Table2[[#This Row],[Quantity_Sold]]</f>
        <v>17043.13</v>
      </c>
      <c r="P485">
        <f t="shared" si="7"/>
        <v>-8972.7400000000016</v>
      </c>
      <c r="Q485" s="3">
        <f>Table2[[#This Row],[Gross_Profit]]/Table2[[#This Row],[Sales_Amount]]</f>
        <v>-1.1118099620960078</v>
      </c>
      <c r="R485" t="str">
        <f>TEXT(Table2[[#This Row],[Sale_Date]],"mmmm")</f>
        <v>May</v>
      </c>
      <c r="S485" s="4">
        <f>YEAR(Table2[[#This Row],[Sale_Date]])</f>
        <v>2023</v>
      </c>
    </row>
    <row r="486" spans="1:19" x14ac:dyDescent="0.35">
      <c r="A486">
        <v>1001</v>
      </c>
      <c r="B486" s="1">
        <v>45143</v>
      </c>
      <c r="C486" t="s">
        <v>14</v>
      </c>
      <c r="D486" t="s">
        <v>15</v>
      </c>
      <c r="E486">
        <v>8247.5400000000009</v>
      </c>
      <c r="F486">
        <v>4</v>
      </c>
      <c r="G486" t="s">
        <v>26</v>
      </c>
      <c r="H486">
        <v>1791.83</v>
      </c>
      <c r="I486">
        <v>1871.22</v>
      </c>
      <c r="J486" t="s">
        <v>17</v>
      </c>
      <c r="K486">
        <v>0.12</v>
      </c>
      <c r="L486" t="s">
        <v>27</v>
      </c>
      <c r="M486" t="s">
        <v>19</v>
      </c>
      <c r="N486" t="s">
        <v>20</v>
      </c>
      <c r="O486">
        <f>Table2[[#This Row],[Unit_Cost]]*Table2[[#This Row],[Quantity_Sold]]</f>
        <v>7167.32</v>
      </c>
      <c r="P486">
        <f t="shared" si="7"/>
        <v>1080.2200000000012</v>
      </c>
      <c r="Q486" s="3">
        <f>Table2[[#This Row],[Gross_Profit]]/Table2[[#This Row],[Sales_Amount]]</f>
        <v>0.1309748118833011</v>
      </c>
      <c r="R486" t="str">
        <f>TEXT(Table2[[#This Row],[Sale_Date]],"mmmm")</f>
        <v>August</v>
      </c>
      <c r="S486" s="4">
        <f>YEAR(Table2[[#This Row],[Sale_Date]])</f>
        <v>2023</v>
      </c>
    </row>
    <row r="487" spans="1:19" x14ac:dyDescent="0.35">
      <c r="A487">
        <v>1058</v>
      </c>
      <c r="B487" s="1">
        <v>44987</v>
      </c>
      <c r="C487" t="s">
        <v>38</v>
      </c>
      <c r="D487" t="s">
        <v>21</v>
      </c>
      <c r="E487">
        <v>9333.83</v>
      </c>
      <c r="F487">
        <v>39</v>
      </c>
      <c r="G487" t="s">
        <v>26</v>
      </c>
      <c r="H487">
        <v>3542.8</v>
      </c>
      <c r="I487">
        <v>3603.02</v>
      </c>
      <c r="J487" t="s">
        <v>17</v>
      </c>
      <c r="K487">
        <v>0.26</v>
      </c>
      <c r="L487" t="s">
        <v>18</v>
      </c>
      <c r="M487" t="s">
        <v>19</v>
      </c>
      <c r="N487" t="s">
        <v>41</v>
      </c>
      <c r="O487">
        <f>Table2[[#This Row],[Unit_Cost]]*Table2[[#This Row],[Quantity_Sold]]</f>
        <v>138169.20000000001</v>
      </c>
      <c r="P487">
        <f t="shared" si="7"/>
        <v>-128835.37000000001</v>
      </c>
      <c r="Q487" s="3">
        <f>Table2[[#This Row],[Gross_Profit]]/Table2[[#This Row],[Sales_Amount]]</f>
        <v>-13.80305512313809</v>
      </c>
      <c r="R487" t="str">
        <f>TEXT(Table2[[#This Row],[Sale_Date]],"mmmm")</f>
        <v>March</v>
      </c>
      <c r="S487" s="4">
        <f>YEAR(Table2[[#This Row],[Sale_Date]])</f>
        <v>2023</v>
      </c>
    </row>
    <row r="488" spans="1:19" x14ac:dyDescent="0.35">
      <c r="A488">
        <v>1001</v>
      </c>
      <c r="B488" s="1">
        <v>45030</v>
      </c>
      <c r="C488" t="s">
        <v>24</v>
      </c>
      <c r="D488" t="s">
        <v>34</v>
      </c>
      <c r="E488">
        <v>5488.11</v>
      </c>
      <c r="F488">
        <v>2</v>
      </c>
      <c r="G488" t="s">
        <v>35</v>
      </c>
      <c r="H488">
        <v>2631.68</v>
      </c>
      <c r="I488">
        <v>2904.06</v>
      </c>
      <c r="J488" t="s">
        <v>30</v>
      </c>
      <c r="K488">
        <v>0.15</v>
      </c>
      <c r="L488" t="s">
        <v>27</v>
      </c>
      <c r="M488" t="s">
        <v>19</v>
      </c>
      <c r="N488" t="s">
        <v>50</v>
      </c>
      <c r="O488">
        <f>Table2[[#This Row],[Unit_Cost]]*Table2[[#This Row],[Quantity_Sold]]</f>
        <v>5263.36</v>
      </c>
      <c r="P488">
        <f t="shared" si="7"/>
        <v>224.75</v>
      </c>
      <c r="Q488" s="3">
        <f>Table2[[#This Row],[Gross_Profit]]/Table2[[#This Row],[Sales_Amount]]</f>
        <v>4.0952167503931228E-2</v>
      </c>
      <c r="R488" t="str">
        <f>TEXT(Table2[[#This Row],[Sale_Date]],"mmmm")</f>
        <v>April</v>
      </c>
      <c r="S488" s="4">
        <f>YEAR(Table2[[#This Row],[Sale_Date]])</f>
        <v>2023</v>
      </c>
    </row>
    <row r="489" spans="1:19" x14ac:dyDescent="0.35">
      <c r="A489">
        <v>1034</v>
      </c>
      <c r="B489" s="1">
        <v>44968</v>
      </c>
      <c r="C489" t="s">
        <v>38</v>
      </c>
      <c r="D489" t="s">
        <v>25</v>
      </c>
      <c r="E489">
        <v>2082.79</v>
      </c>
      <c r="F489">
        <v>26</v>
      </c>
      <c r="G489" t="s">
        <v>35</v>
      </c>
      <c r="H489">
        <v>667</v>
      </c>
      <c r="I489">
        <v>718.72</v>
      </c>
      <c r="J489" t="s">
        <v>30</v>
      </c>
      <c r="K489">
        <v>0.2</v>
      </c>
      <c r="L489" t="s">
        <v>18</v>
      </c>
      <c r="M489" t="s">
        <v>22</v>
      </c>
      <c r="N489" t="s">
        <v>39</v>
      </c>
      <c r="O489">
        <f>Table2[[#This Row],[Unit_Cost]]*Table2[[#This Row],[Quantity_Sold]]</f>
        <v>17342</v>
      </c>
      <c r="P489">
        <f t="shared" si="7"/>
        <v>-15259.21</v>
      </c>
      <c r="Q489" s="3">
        <f>Table2[[#This Row],[Gross_Profit]]/Table2[[#This Row],[Sales_Amount]]</f>
        <v>-7.326331507257092</v>
      </c>
      <c r="R489" t="str">
        <f>TEXT(Table2[[#This Row],[Sale_Date]],"mmmm")</f>
        <v>February</v>
      </c>
      <c r="S489" s="4">
        <f>YEAR(Table2[[#This Row],[Sale_Date]])</f>
        <v>2023</v>
      </c>
    </row>
    <row r="490" spans="1:19" x14ac:dyDescent="0.35">
      <c r="A490">
        <v>1096</v>
      </c>
      <c r="B490" s="1">
        <v>44951</v>
      </c>
      <c r="C490" t="s">
        <v>33</v>
      </c>
      <c r="D490" t="s">
        <v>21</v>
      </c>
      <c r="E490">
        <v>6206.16</v>
      </c>
      <c r="F490">
        <v>27</v>
      </c>
      <c r="G490" t="s">
        <v>29</v>
      </c>
      <c r="H490">
        <v>4809</v>
      </c>
      <c r="I490">
        <v>4967.4399999999996</v>
      </c>
      <c r="J490" t="s">
        <v>30</v>
      </c>
      <c r="K490">
        <v>0.12</v>
      </c>
      <c r="L490" t="s">
        <v>18</v>
      </c>
      <c r="M490" t="s">
        <v>19</v>
      </c>
      <c r="N490" t="s">
        <v>37</v>
      </c>
      <c r="O490">
        <f>Table2[[#This Row],[Unit_Cost]]*Table2[[#This Row],[Quantity_Sold]]</f>
        <v>129843</v>
      </c>
      <c r="P490">
        <f t="shared" si="7"/>
        <v>-123636.84</v>
      </c>
      <c r="Q490" s="3">
        <f>Table2[[#This Row],[Gross_Profit]]/Table2[[#This Row],[Sales_Amount]]</f>
        <v>-19.921632700413781</v>
      </c>
      <c r="R490" t="str">
        <f>TEXT(Table2[[#This Row],[Sale_Date]],"mmmm")</f>
        <v>January</v>
      </c>
      <c r="S490" s="4">
        <f>YEAR(Table2[[#This Row],[Sale_Date]])</f>
        <v>2023</v>
      </c>
    </row>
    <row r="491" spans="1:19" x14ac:dyDescent="0.35">
      <c r="A491">
        <v>1048</v>
      </c>
      <c r="B491" s="1">
        <v>44965</v>
      </c>
      <c r="C491" t="s">
        <v>33</v>
      </c>
      <c r="D491" t="s">
        <v>21</v>
      </c>
      <c r="E491">
        <v>7454.53</v>
      </c>
      <c r="F491">
        <v>27</v>
      </c>
      <c r="G491" t="s">
        <v>29</v>
      </c>
      <c r="H491">
        <v>3197.76</v>
      </c>
      <c r="I491">
        <v>3572.61</v>
      </c>
      <c r="J491" t="s">
        <v>17</v>
      </c>
      <c r="K491">
        <v>0.08</v>
      </c>
      <c r="L491" t="s">
        <v>31</v>
      </c>
      <c r="M491" t="s">
        <v>19</v>
      </c>
      <c r="N491" t="s">
        <v>37</v>
      </c>
      <c r="O491">
        <f>Table2[[#This Row],[Unit_Cost]]*Table2[[#This Row],[Quantity_Sold]]</f>
        <v>86339.520000000004</v>
      </c>
      <c r="P491">
        <f t="shared" si="7"/>
        <v>-78884.990000000005</v>
      </c>
      <c r="Q491" s="3">
        <f>Table2[[#This Row],[Gross_Profit]]/Table2[[#This Row],[Sales_Amount]]</f>
        <v>-10.582154743491543</v>
      </c>
      <c r="R491" t="str">
        <f>TEXT(Table2[[#This Row],[Sale_Date]],"mmmm")</f>
        <v>February</v>
      </c>
      <c r="S491" s="4">
        <f>YEAR(Table2[[#This Row],[Sale_Date]])</f>
        <v>2023</v>
      </c>
    </row>
    <row r="492" spans="1:19" x14ac:dyDescent="0.35">
      <c r="A492">
        <v>1089</v>
      </c>
      <c r="B492" s="1">
        <v>45217</v>
      </c>
      <c r="C492" t="s">
        <v>24</v>
      </c>
      <c r="D492" t="s">
        <v>15</v>
      </c>
      <c r="E492">
        <v>7405.38</v>
      </c>
      <c r="F492">
        <v>15</v>
      </c>
      <c r="G492" t="s">
        <v>26</v>
      </c>
      <c r="H492">
        <v>3841.05</v>
      </c>
      <c r="I492">
        <v>4323.62</v>
      </c>
      <c r="J492" t="s">
        <v>17</v>
      </c>
      <c r="K492">
        <v>0.28999999999999998</v>
      </c>
      <c r="L492" t="s">
        <v>31</v>
      </c>
      <c r="M492" t="s">
        <v>22</v>
      </c>
      <c r="N492" t="s">
        <v>45</v>
      </c>
      <c r="O492">
        <f>Table2[[#This Row],[Unit_Cost]]*Table2[[#This Row],[Quantity_Sold]]</f>
        <v>57615.75</v>
      </c>
      <c r="P492">
        <f t="shared" si="7"/>
        <v>-50210.37</v>
      </c>
      <c r="Q492" s="3">
        <f>Table2[[#This Row],[Gross_Profit]]/Table2[[#This Row],[Sales_Amount]]</f>
        <v>-6.780255705986729</v>
      </c>
      <c r="R492" t="str">
        <f>TEXT(Table2[[#This Row],[Sale_Date]],"mmmm")</f>
        <v>October</v>
      </c>
      <c r="S492" s="4">
        <f>YEAR(Table2[[#This Row],[Sale_Date]])</f>
        <v>2023</v>
      </c>
    </row>
    <row r="493" spans="1:19" x14ac:dyDescent="0.35">
      <c r="A493">
        <v>1001</v>
      </c>
      <c r="B493" s="1">
        <v>45057</v>
      </c>
      <c r="C493" t="s">
        <v>38</v>
      </c>
      <c r="D493" t="s">
        <v>34</v>
      </c>
      <c r="E493">
        <v>5262.35</v>
      </c>
      <c r="F493">
        <v>8</v>
      </c>
      <c r="G493" t="s">
        <v>29</v>
      </c>
      <c r="H493">
        <v>442.11</v>
      </c>
      <c r="I493">
        <v>803.87</v>
      </c>
      <c r="J493" t="s">
        <v>30</v>
      </c>
      <c r="K493">
        <v>0.18</v>
      </c>
      <c r="L493" t="s">
        <v>18</v>
      </c>
      <c r="M493" t="s">
        <v>22</v>
      </c>
      <c r="N493" t="s">
        <v>48</v>
      </c>
      <c r="O493">
        <f>Table2[[#This Row],[Unit_Cost]]*Table2[[#This Row],[Quantity_Sold]]</f>
        <v>3536.88</v>
      </c>
      <c r="P493">
        <f t="shared" si="7"/>
        <v>1725.4700000000003</v>
      </c>
      <c r="Q493" s="3">
        <f>Table2[[#This Row],[Gross_Profit]]/Table2[[#This Row],[Sales_Amount]]</f>
        <v>0.32788963105836749</v>
      </c>
      <c r="R493" t="str">
        <f>TEXT(Table2[[#This Row],[Sale_Date]],"mmmm")</f>
        <v>May</v>
      </c>
      <c r="S493" s="4">
        <f>YEAR(Table2[[#This Row],[Sale_Date]])</f>
        <v>2023</v>
      </c>
    </row>
    <row r="494" spans="1:19" x14ac:dyDescent="0.35">
      <c r="A494">
        <v>1016</v>
      </c>
      <c r="B494" s="1">
        <v>45155</v>
      </c>
      <c r="C494" t="s">
        <v>38</v>
      </c>
      <c r="D494" t="s">
        <v>21</v>
      </c>
      <c r="E494">
        <v>777.74</v>
      </c>
      <c r="F494">
        <v>7</v>
      </c>
      <c r="G494" t="s">
        <v>26</v>
      </c>
      <c r="H494">
        <v>282.94</v>
      </c>
      <c r="I494">
        <v>779.32999999999902</v>
      </c>
      <c r="J494" t="s">
        <v>17</v>
      </c>
      <c r="K494">
        <v>0.28000000000000003</v>
      </c>
      <c r="L494" t="s">
        <v>31</v>
      </c>
      <c r="M494" t="s">
        <v>19</v>
      </c>
      <c r="N494" t="s">
        <v>41</v>
      </c>
      <c r="O494">
        <f>Table2[[#This Row],[Unit_Cost]]*Table2[[#This Row],[Quantity_Sold]]</f>
        <v>1980.58</v>
      </c>
      <c r="P494">
        <f t="shared" si="7"/>
        <v>-1202.8399999999999</v>
      </c>
      <c r="Q494" s="3">
        <f>Table2[[#This Row],[Gross_Profit]]/Table2[[#This Row],[Sales_Amount]]</f>
        <v>-1.5465836912078585</v>
      </c>
      <c r="R494" t="str">
        <f>TEXT(Table2[[#This Row],[Sale_Date]],"mmmm")</f>
        <v>August</v>
      </c>
      <c r="S494" s="4">
        <f>YEAR(Table2[[#This Row],[Sale_Date]])</f>
        <v>2023</v>
      </c>
    </row>
    <row r="495" spans="1:19" x14ac:dyDescent="0.35">
      <c r="A495">
        <v>1061</v>
      </c>
      <c r="B495" s="1">
        <v>45034</v>
      </c>
      <c r="C495" t="s">
        <v>38</v>
      </c>
      <c r="D495" t="s">
        <v>15</v>
      </c>
      <c r="E495">
        <v>3774.02</v>
      </c>
      <c r="F495">
        <v>47</v>
      </c>
      <c r="G495" t="s">
        <v>35</v>
      </c>
      <c r="H495">
        <v>146.27000000000001</v>
      </c>
      <c r="I495">
        <v>498.46</v>
      </c>
      <c r="J495" t="s">
        <v>30</v>
      </c>
      <c r="K495">
        <v>0.06</v>
      </c>
      <c r="L495" t="s">
        <v>18</v>
      </c>
      <c r="M495" t="s">
        <v>22</v>
      </c>
      <c r="N495" t="s">
        <v>40</v>
      </c>
      <c r="O495">
        <f>Table2[[#This Row],[Unit_Cost]]*Table2[[#This Row],[Quantity_Sold]]</f>
        <v>6874.6900000000005</v>
      </c>
      <c r="P495">
        <f t="shared" si="7"/>
        <v>-3100.6700000000005</v>
      </c>
      <c r="Q495" s="3">
        <f>Table2[[#This Row],[Gross_Profit]]/Table2[[#This Row],[Sales_Amount]]</f>
        <v>-0.82158282150068107</v>
      </c>
      <c r="R495" t="str">
        <f>TEXT(Table2[[#This Row],[Sale_Date]],"mmmm")</f>
        <v>April</v>
      </c>
      <c r="S495" s="4">
        <f>YEAR(Table2[[#This Row],[Sale_Date]])</f>
        <v>2023</v>
      </c>
    </row>
    <row r="496" spans="1:19" x14ac:dyDescent="0.35">
      <c r="A496">
        <v>1064</v>
      </c>
      <c r="B496" s="1">
        <v>45098</v>
      </c>
      <c r="C496" t="s">
        <v>14</v>
      </c>
      <c r="D496" t="s">
        <v>21</v>
      </c>
      <c r="E496">
        <v>9215.59</v>
      </c>
      <c r="F496">
        <v>46</v>
      </c>
      <c r="G496" t="s">
        <v>35</v>
      </c>
      <c r="H496">
        <v>984.53</v>
      </c>
      <c r="I496">
        <v>1138.49</v>
      </c>
      <c r="J496" t="s">
        <v>30</v>
      </c>
      <c r="K496">
        <v>0.04</v>
      </c>
      <c r="L496" t="s">
        <v>27</v>
      </c>
      <c r="M496" t="s">
        <v>19</v>
      </c>
      <c r="N496" t="s">
        <v>23</v>
      </c>
      <c r="O496">
        <f>Table2[[#This Row],[Unit_Cost]]*Table2[[#This Row],[Quantity_Sold]]</f>
        <v>45288.38</v>
      </c>
      <c r="P496">
        <f t="shared" si="7"/>
        <v>-36072.789999999994</v>
      </c>
      <c r="Q496" s="3">
        <f>Table2[[#This Row],[Gross_Profit]]/Table2[[#This Row],[Sales_Amount]]</f>
        <v>-3.9143223602612522</v>
      </c>
      <c r="R496" t="str">
        <f>TEXT(Table2[[#This Row],[Sale_Date]],"mmmm")</f>
        <v>June</v>
      </c>
      <c r="S496" s="4">
        <f>YEAR(Table2[[#This Row],[Sale_Date]])</f>
        <v>2023</v>
      </c>
    </row>
    <row r="497" spans="1:19" x14ac:dyDescent="0.35">
      <c r="A497">
        <v>1063</v>
      </c>
      <c r="B497" s="1">
        <v>45028</v>
      </c>
      <c r="C497" t="s">
        <v>33</v>
      </c>
      <c r="D497" t="s">
        <v>15</v>
      </c>
      <c r="E497">
        <v>5886.04</v>
      </c>
      <c r="F497">
        <v>40</v>
      </c>
      <c r="G497" t="s">
        <v>35</v>
      </c>
      <c r="H497">
        <v>2101.3200000000002</v>
      </c>
      <c r="I497">
        <v>2440.63</v>
      </c>
      <c r="J497" t="s">
        <v>30</v>
      </c>
      <c r="K497">
        <v>0.26</v>
      </c>
      <c r="L497" t="s">
        <v>27</v>
      </c>
      <c r="M497" t="s">
        <v>22</v>
      </c>
      <c r="N497" t="s">
        <v>53</v>
      </c>
      <c r="O497">
        <f>Table2[[#This Row],[Unit_Cost]]*Table2[[#This Row],[Quantity_Sold]]</f>
        <v>84052.800000000003</v>
      </c>
      <c r="P497">
        <f t="shared" si="7"/>
        <v>-78166.760000000009</v>
      </c>
      <c r="Q497" s="3">
        <f>Table2[[#This Row],[Gross_Profit]]/Table2[[#This Row],[Sales_Amount]]</f>
        <v>-13.280025280154401</v>
      </c>
      <c r="R497" t="str">
        <f>TEXT(Table2[[#This Row],[Sale_Date]],"mmmm")</f>
        <v>April</v>
      </c>
      <c r="S497" s="4">
        <f>YEAR(Table2[[#This Row],[Sale_Date]])</f>
        <v>2023</v>
      </c>
    </row>
    <row r="498" spans="1:19" x14ac:dyDescent="0.35">
      <c r="A498">
        <v>1069</v>
      </c>
      <c r="B498" s="1">
        <v>45280</v>
      </c>
      <c r="C498" t="s">
        <v>38</v>
      </c>
      <c r="D498" t="s">
        <v>15</v>
      </c>
      <c r="E498">
        <v>5429.49</v>
      </c>
      <c r="F498">
        <v>12</v>
      </c>
      <c r="G498" t="s">
        <v>16</v>
      </c>
      <c r="H498">
        <v>4682.34</v>
      </c>
      <c r="I498">
        <v>5036.3999999999996</v>
      </c>
      <c r="J498" t="s">
        <v>30</v>
      </c>
      <c r="K498">
        <v>0.2</v>
      </c>
      <c r="L498" t="s">
        <v>27</v>
      </c>
      <c r="M498" t="s">
        <v>22</v>
      </c>
      <c r="N498" t="s">
        <v>40</v>
      </c>
      <c r="O498">
        <f>Table2[[#This Row],[Unit_Cost]]*Table2[[#This Row],[Quantity_Sold]]</f>
        <v>56188.08</v>
      </c>
      <c r="P498">
        <f t="shared" si="7"/>
        <v>-50758.590000000004</v>
      </c>
      <c r="Q498" s="3">
        <f>Table2[[#This Row],[Gross_Profit]]/Table2[[#This Row],[Sales_Amount]]</f>
        <v>-9.3486846830917827</v>
      </c>
      <c r="R498" t="str">
        <f>TEXT(Table2[[#This Row],[Sale_Date]],"mmmm")</f>
        <v>December</v>
      </c>
      <c r="S498" s="4">
        <f>YEAR(Table2[[#This Row],[Sale_Date]])</f>
        <v>2023</v>
      </c>
    </row>
    <row r="499" spans="1:19" x14ac:dyDescent="0.35">
      <c r="A499">
        <v>1022</v>
      </c>
      <c r="B499" s="1">
        <v>44938</v>
      </c>
      <c r="C499" t="s">
        <v>38</v>
      </c>
      <c r="D499" t="s">
        <v>34</v>
      </c>
      <c r="E499">
        <v>2761.65</v>
      </c>
      <c r="F499">
        <v>13</v>
      </c>
      <c r="G499" t="s">
        <v>26</v>
      </c>
      <c r="H499">
        <v>2312.4499999999998</v>
      </c>
      <c r="I499">
        <v>2504.6</v>
      </c>
      <c r="J499" t="s">
        <v>17</v>
      </c>
      <c r="K499">
        <v>0.06</v>
      </c>
      <c r="L499" t="s">
        <v>27</v>
      </c>
      <c r="M499" t="s">
        <v>19</v>
      </c>
      <c r="N499" t="s">
        <v>48</v>
      </c>
      <c r="O499">
        <f>Table2[[#This Row],[Unit_Cost]]*Table2[[#This Row],[Quantity_Sold]]</f>
        <v>30061.85</v>
      </c>
      <c r="P499">
        <f t="shared" si="7"/>
        <v>-27300.199999999997</v>
      </c>
      <c r="Q499" s="3">
        <f>Table2[[#This Row],[Gross_Profit]]/Table2[[#This Row],[Sales_Amount]]</f>
        <v>-9.8854670215269849</v>
      </c>
      <c r="R499" t="str">
        <f>TEXT(Table2[[#This Row],[Sale_Date]],"mmmm")</f>
        <v>January</v>
      </c>
      <c r="S499" s="4">
        <f>YEAR(Table2[[#This Row],[Sale_Date]])</f>
        <v>2023</v>
      </c>
    </row>
    <row r="500" spans="1:19" x14ac:dyDescent="0.35">
      <c r="A500">
        <v>1093</v>
      </c>
      <c r="B500" s="1">
        <v>45201</v>
      </c>
      <c r="C500" t="s">
        <v>14</v>
      </c>
      <c r="D500" t="s">
        <v>21</v>
      </c>
      <c r="E500">
        <v>3747.64</v>
      </c>
      <c r="F500">
        <v>43</v>
      </c>
      <c r="G500" t="s">
        <v>35</v>
      </c>
      <c r="H500">
        <v>1486.76</v>
      </c>
      <c r="I500">
        <v>1505.44</v>
      </c>
      <c r="J500" t="s">
        <v>30</v>
      </c>
      <c r="K500">
        <v>0.08</v>
      </c>
      <c r="L500" t="s">
        <v>18</v>
      </c>
      <c r="M500" t="s">
        <v>22</v>
      </c>
      <c r="N500" t="s">
        <v>23</v>
      </c>
      <c r="O500">
        <f>Table2[[#This Row],[Unit_Cost]]*Table2[[#This Row],[Quantity_Sold]]</f>
        <v>63930.68</v>
      </c>
      <c r="P500">
        <f t="shared" si="7"/>
        <v>-60183.040000000001</v>
      </c>
      <c r="Q500" s="3">
        <f>Table2[[#This Row],[Gross_Profit]]/Table2[[#This Row],[Sales_Amount]]</f>
        <v>-16.058917078481393</v>
      </c>
      <c r="R500" t="str">
        <f>TEXT(Table2[[#This Row],[Sale_Date]],"mmmm")</f>
        <v>October</v>
      </c>
      <c r="S500" s="4">
        <f>YEAR(Table2[[#This Row],[Sale_Date]])</f>
        <v>2023</v>
      </c>
    </row>
    <row r="501" spans="1:19" x14ac:dyDescent="0.35">
      <c r="A501">
        <v>1067</v>
      </c>
      <c r="B501" s="1">
        <v>45027</v>
      </c>
      <c r="C501" t="s">
        <v>14</v>
      </c>
      <c r="D501" t="s">
        <v>34</v>
      </c>
      <c r="E501">
        <v>8963.93</v>
      </c>
      <c r="F501">
        <v>17</v>
      </c>
      <c r="G501" t="s">
        <v>26</v>
      </c>
      <c r="H501">
        <v>2831.58</v>
      </c>
      <c r="I501">
        <v>3186.15</v>
      </c>
      <c r="J501" t="s">
        <v>30</v>
      </c>
      <c r="K501">
        <v>0.24</v>
      </c>
      <c r="L501" t="s">
        <v>27</v>
      </c>
      <c r="M501" t="s">
        <v>22</v>
      </c>
      <c r="N501" t="s">
        <v>46</v>
      </c>
      <c r="O501">
        <f>Table2[[#This Row],[Unit_Cost]]*Table2[[#This Row],[Quantity_Sold]]</f>
        <v>48136.86</v>
      </c>
      <c r="P501">
        <f t="shared" si="7"/>
        <v>-39172.93</v>
      </c>
      <c r="Q501" s="3">
        <f>Table2[[#This Row],[Gross_Profit]]/Table2[[#This Row],[Sales_Amount]]</f>
        <v>-4.3700620152098466</v>
      </c>
      <c r="R501" t="str">
        <f>TEXT(Table2[[#This Row],[Sale_Date]],"mmmm")</f>
        <v>April</v>
      </c>
      <c r="S501" s="4">
        <f>YEAR(Table2[[#This Row],[Sale_Date]])</f>
        <v>2023</v>
      </c>
    </row>
    <row r="502" spans="1:19" x14ac:dyDescent="0.35">
      <c r="A502">
        <v>1076</v>
      </c>
      <c r="B502" s="1">
        <v>44970</v>
      </c>
      <c r="C502" t="s">
        <v>38</v>
      </c>
      <c r="D502" t="s">
        <v>15</v>
      </c>
      <c r="E502">
        <v>6697.98</v>
      </c>
      <c r="F502">
        <v>17</v>
      </c>
      <c r="G502" t="s">
        <v>29</v>
      </c>
      <c r="H502">
        <v>604.08000000000004</v>
      </c>
      <c r="I502">
        <v>624.71</v>
      </c>
      <c r="J502" t="s">
        <v>30</v>
      </c>
      <c r="K502">
        <v>0.14000000000000001</v>
      </c>
      <c r="L502" t="s">
        <v>27</v>
      </c>
      <c r="M502" t="s">
        <v>22</v>
      </c>
      <c r="N502" t="s">
        <v>40</v>
      </c>
      <c r="O502">
        <f>Table2[[#This Row],[Unit_Cost]]*Table2[[#This Row],[Quantity_Sold]]</f>
        <v>10269.36</v>
      </c>
      <c r="P502">
        <f t="shared" si="7"/>
        <v>-3571.380000000001</v>
      </c>
      <c r="Q502" s="3">
        <f>Table2[[#This Row],[Gross_Profit]]/Table2[[#This Row],[Sales_Amount]]</f>
        <v>-0.5332025476337644</v>
      </c>
      <c r="R502" t="str">
        <f>TEXT(Table2[[#This Row],[Sale_Date]],"mmmm")</f>
        <v>February</v>
      </c>
      <c r="S502" s="4">
        <f>YEAR(Table2[[#This Row],[Sale_Date]])</f>
        <v>2023</v>
      </c>
    </row>
    <row r="503" spans="1:19" x14ac:dyDescent="0.35">
      <c r="A503">
        <v>1026</v>
      </c>
      <c r="B503" s="1">
        <v>45231</v>
      </c>
      <c r="C503" t="s">
        <v>42</v>
      </c>
      <c r="D503" t="s">
        <v>25</v>
      </c>
      <c r="E503">
        <v>7895.13</v>
      </c>
      <c r="F503">
        <v>36</v>
      </c>
      <c r="G503" t="s">
        <v>29</v>
      </c>
      <c r="H503">
        <v>3067.05</v>
      </c>
      <c r="I503">
        <v>3386.33</v>
      </c>
      <c r="J503" t="s">
        <v>30</v>
      </c>
      <c r="K503">
        <v>0.2</v>
      </c>
      <c r="L503" t="s">
        <v>27</v>
      </c>
      <c r="M503" t="s">
        <v>19</v>
      </c>
      <c r="N503" t="s">
        <v>43</v>
      </c>
      <c r="O503">
        <f>Table2[[#This Row],[Unit_Cost]]*Table2[[#This Row],[Quantity_Sold]]</f>
        <v>110413.8</v>
      </c>
      <c r="P503">
        <f t="shared" si="7"/>
        <v>-102518.67</v>
      </c>
      <c r="Q503" s="3">
        <f>Table2[[#This Row],[Gross_Profit]]/Table2[[#This Row],[Sales_Amount]]</f>
        <v>-12.985051544433087</v>
      </c>
      <c r="R503" t="str">
        <f>TEXT(Table2[[#This Row],[Sale_Date]],"mmmm")</f>
        <v>November</v>
      </c>
      <c r="S503" s="4">
        <f>YEAR(Table2[[#This Row],[Sale_Date]])</f>
        <v>2023</v>
      </c>
    </row>
    <row r="504" spans="1:19" x14ac:dyDescent="0.35">
      <c r="A504">
        <v>1016</v>
      </c>
      <c r="B504" s="1">
        <v>44943</v>
      </c>
      <c r="C504" t="s">
        <v>38</v>
      </c>
      <c r="D504" t="s">
        <v>21</v>
      </c>
      <c r="E504">
        <v>4598.0200000000004</v>
      </c>
      <c r="F504">
        <v>21</v>
      </c>
      <c r="G504" t="s">
        <v>35</v>
      </c>
      <c r="H504">
        <v>2863.74</v>
      </c>
      <c r="I504">
        <v>2953.91</v>
      </c>
      <c r="J504" t="s">
        <v>30</v>
      </c>
      <c r="K504">
        <v>0.1</v>
      </c>
      <c r="L504" t="s">
        <v>27</v>
      </c>
      <c r="M504" t="s">
        <v>22</v>
      </c>
      <c r="N504" t="s">
        <v>41</v>
      </c>
      <c r="O504">
        <f>Table2[[#This Row],[Unit_Cost]]*Table2[[#This Row],[Quantity_Sold]]</f>
        <v>60138.539999999994</v>
      </c>
      <c r="P504">
        <f t="shared" si="7"/>
        <v>-55540.51999999999</v>
      </c>
      <c r="Q504" s="3">
        <f>Table2[[#This Row],[Gross_Profit]]/Table2[[#This Row],[Sales_Amount]]</f>
        <v>-12.079225405718111</v>
      </c>
      <c r="R504" t="str">
        <f>TEXT(Table2[[#This Row],[Sale_Date]],"mmmm")</f>
        <v>January</v>
      </c>
      <c r="S504" s="4">
        <f>YEAR(Table2[[#This Row],[Sale_Date]])</f>
        <v>2023</v>
      </c>
    </row>
    <row r="505" spans="1:19" x14ac:dyDescent="0.35">
      <c r="A505">
        <v>1051</v>
      </c>
      <c r="B505" s="1">
        <v>45256</v>
      </c>
      <c r="C505" t="s">
        <v>38</v>
      </c>
      <c r="D505" t="s">
        <v>25</v>
      </c>
      <c r="E505">
        <v>6339.45</v>
      </c>
      <c r="F505">
        <v>8</v>
      </c>
      <c r="G505" t="s">
        <v>26</v>
      </c>
      <c r="H505">
        <v>3970.37</v>
      </c>
      <c r="I505">
        <v>4257.5199999999904</v>
      </c>
      <c r="J505" t="s">
        <v>30</v>
      </c>
      <c r="K505">
        <v>0.11</v>
      </c>
      <c r="L505" t="s">
        <v>18</v>
      </c>
      <c r="M505" t="s">
        <v>22</v>
      </c>
      <c r="N505" t="s">
        <v>39</v>
      </c>
      <c r="O505">
        <f>Table2[[#This Row],[Unit_Cost]]*Table2[[#This Row],[Quantity_Sold]]</f>
        <v>31762.959999999999</v>
      </c>
      <c r="P505">
        <f t="shared" si="7"/>
        <v>-25423.51</v>
      </c>
      <c r="Q505" s="3">
        <f>Table2[[#This Row],[Gross_Profit]]/Table2[[#This Row],[Sales_Amount]]</f>
        <v>-4.0103652525061317</v>
      </c>
      <c r="R505" t="str">
        <f>TEXT(Table2[[#This Row],[Sale_Date]],"mmmm")</f>
        <v>November</v>
      </c>
      <c r="S505" s="4">
        <f>YEAR(Table2[[#This Row],[Sale_Date]])</f>
        <v>2023</v>
      </c>
    </row>
    <row r="506" spans="1:19" x14ac:dyDescent="0.35">
      <c r="A506">
        <v>1086</v>
      </c>
      <c r="B506" s="1">
        <v>44983</v>
      </c>
      <c r="C506" t="s">
        <v>14</v>
      </c>
      <c r="D506" t="s">
        <v>21</v>
      </c>
      <c r="E506">
        <v>2559</v>
      </c>
      <c r="F506">
        <v>5</v>
      </c>
      <c r="G506" t="s">
        <v>35</v>
      </c>
      <c r="H506">
        <v>4934.1000000000004</v>
      </c>
      <c r="I506">
        <v>5191.0200000000004</v>
      </c>
      <c r="J506" t="s">
        <v>30</v>
      </c>
      <c r="K506">
        <v>0.3</v>
      </c>
      <c r="L506" t="s">
        <v>27</v>
      </c>
      <c r="M506" t="s">
        <v>19</v>
      </c>
      <c r="N506" t="s">
        <v>23</v>
      </c>
      <c r="O506">
        <f>Table2[[#This Row],[Unit_Cost]]*Table2[[#This Row],[Quantity_Sold]]</f>
        <v>24670.5</v>
      </c>
      <c r="P506">
        <f t="shared" si="7"/>
        <v>-22111.5</v>
      </c>
      <c r="Q506" s="3">
        <f>Table2[[#This Row],[Gross_Profit]]/Table2[[#This Row],[Sales_Amount]]</f>
        <v>-8.640679953106682</v>
      </c>
      <c r="R506" t="str">
        <f>TEXT(Table2[[#This Row],[Sale_Date]],"mmmm")</f>
        <v>February</v>
      </c>
      <c r="S506" s="4">
        <f>YEAR(Table2[[#This Row],[Sale_Date]])</f>
        <v>2023</v>
      </c>
    </row>
    <row r="507" spans="1:19" x14ac:dyDescent="0.3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c r="O507">
        <f>Table2[[#This Row],[Unit_Cost]]*Table2[[#This Row],[Quantity_Sold]]</f>
        <v>33587.32</v>
      </c>
      <c r="P507">
        <f t="shared" si="7"/>
        <v>-26503.26</v>
      </c>
      <c r="Q507" s="3">
        <f>Table2[[#This Row],[Gross_Profit]]/Table2[[#This Row],[Sales_Amount]]</f>
        <v>-3.7412528973498245</v>
      </c>
      <c r="R507" t="str">
        <f>TEXT(Table2[[#This Row],[Sale_Date]],"mmmm")</f>
        <v>November</v>
      </c>
      <c r="S507" s="4">
        <f>YEAR(Table2[[#This Row],[Sale_Date]])</f>
        <v>2023</v>
      </c>
    </row>
    <row r="508" spans="1:19" x14ac:dyDescent="0.35">
      <c r="A508">
        <v>1029</v>
      </c>
      <c r="B508" s="1">
        <v>45229</v>
      </c>
      <c r="C508" t="s">
        <v>38</v>
      </c>
      <c r="D508" t="s">
        <v>34</v>
      </c>
      <c r="E508">
        <v>4333.25</v>
      </c>
      <c r="F508">
        <v>16</v>
      </c>
      <c r="G508" t="s">
        <v>35</v>
      </c>
      <c r="H508">
        <v>2572.8000000000002</v>
      </c>
      <c r="I508">
        <v>2760.6</v>
      </c>
      <c r="J508" t="s">
        <v>17</v>
      </c>
      <c r="K508">
        <v>0.15</v>
      </c>
      <c r="L508" t="s">
        <v>31</v>
      </c>
      <c r="M508" t="s">
        <v>22</v>
      </c>
      <c r="N508" t="s">
        <v>48</v>
      </c>
      <c r="O508">
        <f>Table2[[#This Row],[Unit_Cost]]*Table2[[#This Row],[Quantity_Sold]]</f>
        <v>41164.800000000003</v>
      </c>
      <c r="P508">
        <f t="shared" si="7"/>
        <v>-36831.550000000003</v>
      </c>
      <c r="Q508" s="3">
        <f>Table2[[#This Row],[Gross_Profit]]/Table2[[#This Row],[Sales_Amount]]</f>
        <v>-8.4997519183061225</v>
      </c>
      <c r="R508" t="str">
        <f>TEXT(Table2[[#This Row],[Sale_Date]],"mmmm")</f>
        <v>October</v>
      </c>
      <c r="S508" s="4">
        <f>YEAR(Table2[[#This Row],[Sale_Date]])</f>
        <v>2023</v>
      </c>
    </row>
    <row r="509" spans="1:19" x14ac:dyDescent="0.35">
      <c r="A509">
        <v>1078</v>
      </c>
      <c r="B509" s="1">
        <v>44938</v>
      </c>
      <c r="C509" t="s">
        <v>38</v>
      </c>
      <c r="D509" t="s">
        <v>34</v>
      </c>
      <c r="E509">
        <v>4481.2</v>
      </c>
      <c r="F509">
        <v>36</v>
      </c>
      <c r="G509" t="s">
        <v>26</v>
      </c>
      <c r="H509">
        <v>4548.88</v>
      </c>
      <c r="I509">
        <v>4853.41</v>
      </c>
      <c r="J509" t="s">
        <v>17</v>
      </c>
      <c r="K509">
        <v>0.25</v>
      </c>
      <c r="L509" t="s">
        <v>31</v>
      </c>
      <c r="M509" t="s">
        <v>22</v>
      </c>
      <c r="N509" t="s">
        <v>48</v>
      </c>
      <c r="O509">
        <f>Table2[[#This Row],[Unit_Cost]]*Table2[[#This Row],[Quantity_Sold]]</f>
        <v>163759.67999999999</v>
      </c>
      <c r="P509">
        <f t="shared" si="7"/>
        <v>-159278.47999999998</v>
      </c>
      <c r="Q509" s="3">
        <f>Table2[[#This Row],[Gross_Profit]]/Table2[[#This Row],[Sales_Amount]]</f>
        <v>-35.543711505846645</v>
      </c>
      <c r="R509" t="str">
        <f>TEXT(Table2[[#This Row],[Sale_Date]],"mmmm")</f>
        <v>January</v>
      </c>
      <c r="S509" s="4">
        <f>YEAR(Table2[[#This Row],[Sale_Date]])</f>
        <v>2023</v>
      </c>
    </row>
    <row r="510" spans="1:19" x14ac:dyDescent="0.35">
      <c r="A510">
        <v>1092</v>
      </c>
      <c r="B510" s="1">
        <v>45244</v>
      </c>
      <c r="C510" t="s">
        <v>38</v>
      </c>
      <c r="D510" t="s">
        <v>34</v>
      </c>
      <c r="E510">
        <v>6528.29</v>
      </c>
      <c r="F510">
        <v>28</v>
      </c>
      <c r="G510" t="s">
        <v>29</v>
      </c>
      <c r="H510">
        <v>3936.69</v>
      </c>
      <c r="I510">
        <v>4362.51</v>
      </c>
      <c r="J510" t="s">
        <v>17</v>
      </c>
      <c r="K510">
        <v>7.0000000000000007E-2</v>
      </c>
      <c r="L510" t="s">
        <v>31</v>
      </c>
      <c r="M510" t="s">
        <v>22</v>
      </c>
      <c r="N510" t="s">
        <v>48</v>
      </c>
      <c r="O510">
        <f>Table2[[#This Row],[Unit_Cost]]*Table2[[#This Row],[Quantity_Sold]]</f>
        <v>110227.32</v>
      </c>
      <c r="P510">
        <f t="shared" si="7"/>
        <v>-103699.03000000001</v>
      </c>
      <c r="Q510" s="3">
        <f>Table2[[#This Row],[Gross_Profit]]/Table2[[#This Row],[Sales_Amount]]</f>
        <v>-15.884562419867992</v>
      </c>
      <c r="R510" t="str">
        <f>TEXT(Table2[[#This Row],[Sale_Date]],"mmmm")</f>
        <v>November</v>
      </c>
      <c r="S510" s="4">
        <f>YEAR(Table2[[#This Row],[Sale_Date]])</f>
        <v>2023</v>
      </c>
    </row>
    <row r="511" spans="1:19" x14ac:dyDescent="0.35">
      <c r="A511">
        <v>1069</v>
      </c>
      <c r="B511" s="1">
        <v>45006</v>
      </c>
      <c r="C511" t="s">
        <v>14</v>
      </c>
      <c r="D511" t="s">
        <v>34</v>
      </c>
      <c r="E511">
        <v>9369.18</v>
      </c>
      <c r="F511">
        <v>29</v>
      </c>
      <c r="G511" t="s">
        <v>16</v>
      </c>
      <c r="H511">
        <v>2462.66</v>
      </c>
      <c r="I511">
        <v>2908.0899999999901</v>
      </c>
      <c r="J511" t="s">
        <v>30</v>
      </c>
      <c r="K511">
        <v>0.12</v>
      </c>
      <c r="L511" t="s">
        <v>31</v>
      </c>
      <c r="M511" t="s">
        <v>19</v>
      </c>
      <c r="N511" t="s">
        <v>46</v>
      </c>
      <c r="O511">
        <f>Table2[[#This Row],[Unit_Cost]]*Table2[[#This Row],[Quantity_Sold]]</f>
        <v>71417.14</v>
      </c>
      <c r="P511">
        <f t="shared" si="7"/>
        <v>-62047.96</v>
      </c>
      <c r="Q511" s="3">
        <f>Table2[[#This Row],[Gross_Profit]]/Table2[[#This Row],[Sales_Amount]]</f>
        <v>-6.622560352133271</v>
      </c>
      <c r="R511" t="str">
        <f>TEXT(Table2[[#This Row],[Sale_Date]],"mmmm")</f>
        <v>March</v>
      </c>
      <c r="S511" s="4">
        <f>YEAR(Table2[[#This Row],[Sale_Date]])</f>
        <v>2023</v>
      </c>
    </row>
    <row r="512" spans="1:19" x14ac:dyDescent="0.35">
      <c r="A512">
        <v>1047</v>
      </c>
      <c r="B512" s="1">
        <v>45142</v>
      </c>
      <c r="C512" t="s">
        <v>38</v>
      </c>
      <c r="D512" t="s">
        <v>25</v>
      </c>
      <c r="E512">
        <v>733.66</v>
      </c>
      <c r="F512">
        <v>47</v>
      </c>
      <c r="G512" t="s">
        <v>29</v>
      </c>
      <c r="H512">
        <v>4729.59</v>
      </c>
      <c r="I512">
        <v>4976.68</v>
      </c>
      <c r="J512" t="s">
        <v>17</v>
      </c>
      <c r="K512">
        <v>0.18</v>
      </c>
      <c r="L512" t="s">
        <v>31</v>
      </c>
      <c r="M512" t="s">
        <v>22</v>
      </c>
      <c r="N512" t="s">
        <v>39</v>
      </c>
      <c r="O512">
        <f>Table2[[#This Row],[Unit_Cost]]*Table2[[#This Row],[Quantity_Sold]]</f>
        <v>222290.73</v>
      </c>
      <c r="P512">
        <f t="shared" si="7"/>
        <v>-221557.07</v>
      </c>
      <c r="Q512" s="3">
        <f>Table2[[#This Row],[Gross_Profit]]/Table2[[#This Row],[Sales_Amount]]</f>
        <v>-301.98875500913232</v>
      </c>
      <c r="R512" t="str">
        <f>TEXT(Table2[[#This Row],[Sale_Date]],"mmmm")</f>
        <v>August</v>
      </c>
      <c r="S512" s="4">
        <f>YEAR(Table2[[#This Row],[Sale_Date]])</f>
        <v>2023</v>
      </c>
    </row>
    <row r="513" spans="1:19" x14ac:dyDescent="0.35">
      <c r="A513">
        <v>1094</v>
      </c>
      <c r="B513" s="1">
        <v>45265</v>
      </c>
      <c r="C513" t="s">
        <v>38</v>
      </c>
      <c r="D513" t="s">
        <v>34</v>
      </c>
      <c r="E513">
        <v>8264.9599999999991</v>
      </c>
      <c r="F513">
        <v>12</v>
      </c>
      <c r="G513" t="s">
        <v>16</v>
      </c>
      <c r="H513">
        <v>333.32</v>
      </c>
      <c r="I513">
        <v>700.25</v>
      </c>
      <c r="J513" t="s">
        <v>17</v>
      </c>
      <c r="K513">
        <v>0.14000000000000001</v>
      </c>
      <c r="L513" t="s">
        <v>18</v>
      </c>
      <c r="M513" t="s">
        <v>19</v>
      </c>
      <c r="N513" t="s">
        <v>48</v>
      </c>
      <c r="O513">
        <f>Table2[[#This Row],[Unit_Cost]]*Table2[[#This Row],[Quantity_Sold]]</f>
        <v>3999.84</v>
      </c>
      <c r="P513">
        <f t="shared" si="7"/>
        <v>4265.119999999999</v>
      </c>
      <c r="Q513" s="3">
        <f>Table2[[#This Row],[Gross_Profit]]/Table2[[#This Row],[Sales_Amount]]</f>
        <v>0.51604847452377256</v>
      </c>
      <c r="R513" t="str">
        <f>TEXT(Table2[[#This Row],[Sale_Date]],"mmmm")</f>
        <v>December</v>
      </c>
      <c r="S513" s="4">
        <f>YEAR(Table2[[#This Row],[Sale_Date]])</f>
        <v>2023</v>
      </c>
    </row>
    <row r="514" spans="1:19" x14ac:dyDescent="0.35">
      <c r="A514">
        <v>1062</v>
      </c>
      <c r="B514" s="1">
        <v>45190</v>
      </c>
      <c r="C514" t="s">
        <v>24</v>
      </c>
      <c r="D514" t="s">
        <v>15</v>
      </c>
      <c r="E514">
        <v>2994.59</v>
      </c>
      <c r="F514">
        <v>37</v>
      </c>
      <c r="G514" t="s">
        <v>35</v>
      </c>
      <c r="H514">
        <v>4658.4399999999996</v>
      </c>
      <c r="I514">
        <v>4823.5</v>
      </c>
      <c r="J514" t="s">
        <v>17</v>
      </c>
      <c r="K514">
        <v>0.14000000000000001</v>
      </c>
      <c r="L514" t="s">
        <v>31</v>
      </c>
      <c r="M514" t="s">
        <v>19</v>
      </c>
      <c r="N514" t="s">
        <v>45</v>
      </c>
      <c r="O514">
        <f>Table2[[#This Row],[Unit_Cost]]*Table2[[#This Row],[Quantity_Sold]]</f>
        <v>172362.28</v>
      </c>
      <c r="P514">
        <f t="shared" ref="P514:P577" si="8">E514-O514</f>
        <v>-169367.69</v>
      </c>
      <c r="Q514" s="3">
        <f>Table2[[#This Row],[Gross_Profit]]/Table2[[#This Row],[Sales_Amount]]</f>
        <v>-56.557889393873616</v>
      </c>
      <c r="R514" t="str">
        <f>TEXT(Table2[[#This Row],[Sale_Date]],"mmmm")</f>
        <v>September</v>
      </c>
      <c r="S514" s="4">
        <f>YEAR(Table2[[#This Row],[Sale_Date]])</f>
        <v>2023</v>
      </c>
    </row>
    <row r="515" spans="1:19" x14ac:dyDescent="0.35">
      <c r="A515">
        <v>1069</v>
      </c>
      <c r="B515" s="1">
        <v>45075</v>
      </c>
      <c r="C515" t="s">
        <v>42</v>
      </c>
      <c r="D515" t="s">
        <v>15</v>
      </c>
      <c r="E515">
        <v>4494.8</v>
      </c>
      <c r="F515">
        <v>30</v>
      </c>
      <c r="G515" t="s">
        <v>35</v>
      </c>
      <c r="H515">
        <v>300.01</v>
      </c>
      <c r="I515">
        <v>477.67999999999898</v>
      </c>
      <c r="J515" t="s">
        <v>30</v>
      </c>
      <c r="K515">
        <v>0.11</v>
      </c>
      <c r="L515" t="s">
        <v>27</v>
      </c>
      <c r="M515" t="s">
        <v>22</v>
      </c>
      <c r="N515" t="s">
        <v>49</v>
      </c>
      <c r="O515">
        <f>Table2[[#This Row],[Unit_Cost]]*Table2[[#This Row],[Quantity_Sold]]</f>
        <v>9000.2999999999993</v>
      </c>
      <c r="P515">
        <f t="shared" si="8"/>
        <v>-4505.4999999999991</v>
      </c>
      <c r="Q515" s="3">
        <f>Table2[[#This Row],[Gross_Profit]]/Table2[[#This Row],[Sales_Amount]]</f>
        <v>-1.0023805286108389</v>
      </c>
      <c r="R515" t="str">
        <f>TEXT(Table2[[#This Row],[Sale_Date]],"mmmm")</f>
        <v>May</v>
      </c>
      <c r="S515" s="4">
        <f>YEAR(Table2[[#This Row],[Sale_Date]])</f>
        <v>2023</v>
      </c>
    </row>
    <row r="516" spans="1:19" x14ac:dyDescent="0.35">
      <c r="A516">
        <v>1076</v>
      </c>
      <c r="B516" s="1">
        <v>45007</v>
      </c>
      <c r="C516" t="s">
        <v>33</v>
      </c>
      <c r="D516" t="s">
        <v>25</v>
      </c>
      <c r="E516">
        <v>316.94</v>
      </c>
      <c r="F516">
        <v>23</v>
      </c>
      <c r="G516" t="s">
        <v>26</v>
      </c>
      <c r="H516">
        <v>2759.16</v>
      </c>
      <c r="I516">
        <v>2864.45</v>
      </c>
      <c r="J516" t="s">
        <v>17</v>
      </c>
      <c r="K516">
        <v>0.18</v>
      </c>
      <c r="L516" t="s">
        <v>31</v>
      </c>
      <c r="M516" t="s">
        <v>22</v>
      </c>
      <c r="N516" t="s">
        <v>44</v>
      </c>
      <c r="O516">
        <f>Table2[[#This Row],[Unit_Cost]]*Table2[[#This Row],[Quantity_Sold]]</f>
        <v>63460.679999999993</v>
      </c>
      <c r="P516">
        <f t="shared" si="8"/>
        <v>-63143.739999999991</v>
      </c>
      <c r="Q516" s="3">
        <f>Table2[[#This Row],[Gross_Profit]]/Table2[[#This Row],[Sales_Amount]]</f>
        <v>-199.22931785195934</v>
      </c>
      <c r="R516" t="str">
        <f>TEXT(Table2[[#This Row],[Sale_Date]],"mmmm")</f>
        <v>March</v>
      </c>
      <c r="S516" s="4">
        <f>YEAR(Table2[[#This Row],[Sale_Date]])</f>
        <v>2023</v>
      </c>
    </row>
    <row r="517" spans="1:19" x14ac:dyDescent="0.35">
      <c r="A517">
        <v>1016</v>
      </c>
      <c r="B517" s="1">
        <v>45141</v>
      </c>
      <c r="C517" t="s">
        <v>42</v>
      </c>
      <c r="D517" t="s">
        <v>21</v>
      </c>
      <c r="E517">
        <v>3080.36</v>
      </c>
      <c r="F517">
        <v>16</v>
      </c>
      <c r="G517" t="s">
        <v>16</v>
      </c>
      <c r="H517">
        <v>4457.68</v>
      </c>
      <c r="I517">
        <v>4743.03</v>
      </c>
      <c r="J517" t="s">
        <v>17</v>
      </c>
      <c r="K517">
        <v>0.19</v>
      </c>
      <c r="L517" t="s">
        <v>18</v>
      </c>
      <c r="M517" t="s">
        <v>19</v>
      </c>
      <c r="N517" t="s">
        <v>51</v>
      </c>
      <c r="O517">
        <f>Table2[[#This Row],[Unit_Cost]]*Table2[[#This Row],[Quantity_Sold]]</f>
        <v>71322.880000000005</v>
      </c>
      <c r="P517">
        <f t="shared" si="8"/>
        <v>-68242.52</v>
      </c>
      <c r="Q517" s="3">
        <f>Table2[[#This Row],[Gross_Profit]]/Table2[[#This Row],[Sales_Amount]]</f>
        <v>-22.154072900570064</v>
      </c>
      <c r="R517" t="str">
        <f>TEXT(Table2[[#This Row],[Sale_Date]],"mmmm")</f>
        <v>August</v>
      </c>
      <c r="S517" s="4">
        <f>YEAR(Table2[[#This Row],[Sale_Date]])</f>
        <v>2023</v>
      </c>
    </row>
    <row r="518" spans="1:19" x14ac:dyDescent="0.35">
      <c r="A518">
        <v>1090</v>
      </c>
      <c r="B518" s="1">
        <v>45124</v>
      </c>
      <c r="C518" t="s">
        <v>24</v>
      </c>
      <c r="D518" t="s">
        <v>15</v>
      </c>
      <c r="E518">
        <v>5076.05</v>
      </c>
      <c r="F518">
        <v>14</v>
      </c>
      <c r="G518" t="s">
        <v>35</v>
      </c>
      <c r="H518">
        <v>1350.47</v>
      </c>
      <c r="I518">
        <v>1514.61</v>
      </c>
      <c r="J518" t="s">
        <v>30</v>
      </c>
      <c r="K518">
        <v>0.2</v>
      </c>
      <c r="L518" t="s">
        <v>31</v>
      </c>
      <c r="M518" t="s">
        <v>22</v>
      </c>
      <c r="N518" t="s">
        <v>45</v>
      </c>
      <c r="O518">
        <f>Table2[[#This Row],[Unit_Cost]]*Table2[[#This Row],[Quantity_Sold]]</f>
        <v>18906.580000000002</v>
      </c>
      <c r="P518">
        <f t="shared" si="8"/>
        <v>-13830.530000000002</v>
      </c>
      <c r="Q518" s="3">
        <f>Table2[[#This Row],[Gross_Profit]]/Table2[[#This Row],[Sales_Amount]]</f>
        <v>-2.7246638626491073</v>
      </c>
      <c r="R518" t="str">
        <f>TEXT(Table2[[#This Row],[Sale_Date]],"mmmm")</f>
        <v>July</v>
      </c>
      <c r="S518" s="4">
        <f>YEAR(Table2[[#This Row],[Sale_Date]])</f>
        <v>2023</v>
      </c>
    </row>
    <row r="519" spans="1:19" x14ac:dyDescent="0.35">
      <c r="A519">
        <v>1090</v>
      </c>
      <c r="B519" s="1">
        <v>45126</v>
      </c>
      <c r="C519" t="s">
        <v>33</v>
      </c>
      <c r="D519" t="s">
        <v>21</v>
      </c>
      <c r="E519">
        <v>656.14</v>
      </c>
      <c r="F519">
        <v>10</v>
      </c>
      <c r="G519" t="s">
        <v>16</v>
      </c>
      <c r="H519">
        <v>2387.63</v>
      </c>
      <c r="I519">
        <v>2438.9699999999998</v>
      </c>
      <c r="J519" t="s">
        <v>17</v>
      </c>
      <c r="K519">
        <v>0.02</v>
      </c>
      <c r="L519" t="s">
        <v>27</v>
      </c>
      <c r="M519" t="s">
        <v>22</v>
      </c>
      <c r="N519" t="s">
        <v>37</v>
      </c>
      <c r="O519">
        <f>Table2[[#This Row],[Unit_Cost]]*Table2[[#This Row],[Quantity_Sold]]</f>
        <v>23876.300000000003</v>
      </c>
      <c r="P519">
        <f t="shared" si="8"/>
        <v>-23220.160000000003</v>
      </c>
      <c r="Q519" s="3">
        <f>Table2[[#This Row],[Gross_Profit]]/Table2[[#This Row],[Sales_Amount]]</f>
        <v>-35.389032828359809</v>
      </c>
      <c r="R519" t="str">
        <f>TEXT(Table2[[#This Row],[Sale_Date]],"mmmm")</f>
        <v>July</v>
      </c>
      <c r="S519" s="4">
        <f>YEAR(Table2[[#This Row],[Sale_Date]])</f>
        <v>2023</v>
      </c>
    </row>
    <row r="520" spans="1:19" x14ac:dyDescent="0.35">
      <c r="A520">
        <v>1048</v>
      </c>
      <c r="B520" s="1">
        <v>44951</v>
      </c>
      <c r="C520" t="s">
        <v>38</v>
      </c>
      <c r="D520" t="s">
        <v>25</v>
      </c>
      <c r="E520">
        <v>4961.8500000000004</v>
      </c>
      <c r="F520">
        <v>7</v>
      </c>
      <c r="G520" t="s">
        <v>35</v>
      </c>
      <c r="H520">
        <v>1655.43</v>
      </c>
      <c r="I520">
        <v>2001.08</v>
      </c>
      <c r="J520" t="s">
        <v>30</v>
      </c>
      <c r="K520">
        <v>0.19</v>
      </c>
      <c r="L520" t="s">
        <v>27</v>
      </c>
      <c r="M520" t="s">
        <v>19</v>
      </c>
      <c r="N520" t="s">
        <v>39</v>
      </c>
      <c r="O520">
        <f>Table2[[#This Row],[Unit_Cost]]*Table2[[#This Row],[Quantity_Sold]]</f>
        <v>11588.01</v>
      </c>
      <c r="P520">
        <f t="shared" si="8"/>
        <v>-6626.16</v>
      </c>
      <c r="Q520" s="3">
        <f>Table2[[#This Row],[Gross_Profit]]/Table2[[#This Row],[Sales_Amount]]</f>
        <v>-1.3354212642461984</v>
      </c>
      <c r="R520" t="str">
        <f>TEXT(Table2[[#This Row],[Sale_Date]],"mmmm")</f>
        <v>January</v>
      </c>
      <c r="S520" s="4">
        <f>YEAR(Table2[[#This Row],[Sale_Date]])</f>
        <v>2023</v>
      </c>
    </row>
    <row r="521" spans="1:19" x14ac:dyDescent="0.35">
      <c r="A521">
        <v>1085</v>
      </c>
      <c r="B521" s="1">
        <v>45015</v>
      </c>
      <c r="C521" t="s">
        <v>24</v>
      </c>
      <c r="D521" t="s">
        <v>21</v>
      </c>
      <c r="E521">
        <v>9278.4</v>
      </c>
      <c r="F521">
        <v>45</v>
      </c>
      <c r="G521" t="s">
        <v>29</v>
      </c>
      <c r="H521">
        <v>4763.1099999999997</v>
      </c>
      <c r="I521">
        <v>5119.91</v>
      </c>
      <c r="J521" t="s">
        <v>17</v>
      </c>
      <c r="K521">
        <v>0.28999999999999998</v>
      </c>
      <c r="L521" t="s">
        <v>18</v>
      </c>
      <c r="M521" t="s">
        <v>22</v>
      </c>
      <c r="N521" t="s">
        <v>47</v>
      </c>
      <c r="O521">
        <f>Table2[[#This Row],[Unit_Cost]]*Table2[[#This Row],[Quantity_Sold]]</f>
        <v>214339.94999999998</v>
      </c>
      <c r="P521">
        <f t="shared" si="8"/>
        <v>-205061.55</v>
      </c>
      <c r="Q521" s="3">
        <f>Table2[[#This Row],[Gross_Profit]]/Table2[[#This Row],[Sales_Amount]]</f>
        <v>-22.100960294878426</v>
      </c>
      <c r="R521" t="str">
        <f>TEXT(Table2[[#This Row],[Sale_Date]],"mmmm")</f>
        <v>March</v>
      </c>
      <c r="S521" s="4">
        <f>YEAR(Table2[[#This Row],[Sale_Date]])</f>
        <v>2023</v>
      </c>
    </row>
    <row r="522" spans="1:19" x14ac:dyDescent="0.35">
      <c r="A522">
        <v>1039</v>
      </c>
      <c r="B522" s="1">
        <v>45194</v>
      </c>
      <c r="C522" t="s">
        <v>38</v>
      </c>
      <c r="D522" t="s">
        <v>21</v>
      </c>
      <c r="E522">
        <v>1143.3900000000001</v>
      </c>
      <c r="F522">
        <v>37</v>
      </c>
      <c r="G522" t="s">
        <v>35</v>
      </c>
      <c r="H522">
        <v>4127.05</v>
      </c>
      <c r="I522">
        <v>4313.45</v>
      </c>
      <c r="J522" t="s">
        <v>30</v>
      </c>
      <c r="K522">
        <v>0.16</v>
      </c>
      <c r="L522" t="s">
        <v>18</v>
      </c>
      <c r="M522" t="s">
        <v>19</v>
      </c>
      <c r="N522" t="s">
        <v>41</v>
      </c>
      <c r="O522">
        <f>Table2[[#This Row],[Unit_Cost]]*Table2[[#This Row],[Quantity_Sold]]</f>
        <v>152700.85</v>
      </c>
      <c r="P522">
        <f t="shared" si="8"/>
        <v>-151557.46</v>
      </c>
      <c r="Q522" s="3">
        <f>Table2[[#This Row],[Gross_Profit]]/Table2[[#This Row],[Sales_Amount]]</f>
        <v>-132.55097560762292</v>
      </c>
      <c r="R522" t="str">
        <f>TEXT(Table2[[#This Row],[Sale_Date]],"mmmm")</f>
        <v>September</v>
      </c>
      <c r="S522" s="4">
        <f>YEAR(Table2[[#This Row],[Sale_Date]])</f>
        <v>2023</v>
      </c>
    </row>
    <row r="523" spans="1:19" x14ac:dyDescent="0.35">
      <c r="A523">
        <v>1100</v>
      </c>
      <c r="B523" s="1">
        <v>45069</v>
      </c>
      <c r="C523" t="s">
        <v>14</v>
      </c>
      <c r="D523" t="s">
        <v>21</v>
      </c>
      <c r="E523">
        <v>7667.96</v>
      </c>
      <c r="F523">
        <v>29</v>
      </c>
      <c r="G523" t="s">
        <v>26</v>
      </c>
      <c r="H523">
        <v>3559.56</v>
      </c>
      <c r="I523">
        <v>3607.15</v>
      </c>
      <c r="J523" t="s">
        <v>17</v>
      </c>
      <c r="K523">
        <v>0.21</v>
      </c>
      <c r="L523" t="s">
        <v>18</v>
      </c>
      <c r="M523" t="s">
        <v>22</v>
      </c>
      <c r="N523" t="s">
        <v>23</v>
      </c>
      <c r="O523">
        <f>Table2[[#This Row],[Unit_Cost]]*Table2[[#This Row],[Quantity_Sold]]</f>
        <v>103227.24</v>
      </c>
      <c r="P523">
        <f t="shared" si="8"/>
        <v>-95559.28</v>
      </c>
      <c r="Q523" s="3">
        <f>Table2[[#This Row],[Gross_Profit]]/Table2[[#This Row],[Sales_Amount]]</f>
        <v>-12.462151602251446</v>
      </c>
      <c r="R523" t="str">
        <f>TEXT(Table2[[#This Row],[Sale_Date]],"mmmm")</f>
        <v>May</v>
      </c>
      <c r="S523" s="4">
        <f>YEAR(Table2[[#This Row],[Sale_Date]])</f>
        <v>2023</v>
      </c>
    </row>
    <row r="524" spans="1:19" x14ac:dyDescent="0.35">
      <c r="A524">
        <v>1033</v>
      </c>
      <c r="B524" s="1">
        <v>44985</v>
      </c>
      <c r="C524" t="s">
        <v>24</v>
      </c>
      <c r="D524" t="s">
        <v>21</v>
      </c>
      <c r="E524">
        <v>4155.74</v>
      </c>
      <c r="F524">
        <v>3</v>
      </c>
      <c r="G524" t="s">
        <v>29</v>
      </c>
      <c r="H524">
        <v>2958.75</v>
      </c>
      <c r="I524">
        <v>3177.64</v>
      </c>
      <c r="J524" t="s">
        <v>17</v>
      </c>
      <c r="K524">
        <v>0.17</v>
      </c>
      <c r="L524" t="s">
        <v>18</v>
      </c>
      <c r="M524" t="s">
        <v>19</v>
      </c>
      <c r="N524" t="s">
        <v>47</v>
      </c>
      <c r="O524">
        <f>Table2[[#This Row],[Unit_Cost]]*Table2[[#This Row],[Quantity_Sold]]</f>
        <v>8876.25</v>
      </c>
      <c r="P524">
        <f t="shared" si="8"/>
        <v>-4720.51</v>
      </c>
      <c r="Q524" s="3">
        <f>Table2[[#This Row],[Gross_Profit]]/Table2[[#This Row],[Sales_Amount]]</f>
        <v>-1.1359011872735061</v>
      </c>
      <c r="R524" t="str">
        <f>TEXT(Table2[[#This Row],[Sale_Date]],"mmmm")</f>
        <v>February</v>
      </c>
      <c r="S524" s="4">
        <f>YEAR(Table2[[#This Row],[Sale_Date]])</f>
        <v>2023</v>
      </c>
    </row>
    <row r="525" spans="1:19" x14ac:dyDescent="0.35">
      <c r="A525">
        <v>1094</v>
      </c>
      <c r="B525" s="1">
        <v>45291</v>
      </c>
      <c r="C525" t="s">
        <v>14</v>
      </c>
      <c r="D525" t="s">
        <v>25</v>
      </c>
      <c r="E525">
        <v>6586.22</v>
      </c>
      <c r="F525">
        <v>15</v>
      </c>
      <c r="G525" t="s">
        <v>26</v>
      </c>
      <c r="H525">
        <v>4111.93</v>
      </c>
      <c r="I525">
        <v>4338.67</v>
      </c>
      <c r="J525" t="s">
        <v>17</v>
      </c>
      <c r="K525">
        <v>0.26</v>
      </c>
      <c r="L525" t="s">
        <v>31</v>
      </c>
      <c r="M525" t="s">
        <v>19</v>
      </c>
      <c r="N525" t="s">
        <v>32</v>
      </c>
      <c r="O525">
        <f>Table2[[#This Row],[Unit_Cost]]*Table2[[#This Row],[Quantity_Sold]]</f>
        <v>61678.950000000004</v>
      </c>
      <c r="P525">
        <f t="shared" si="8"/>
        <v>-55092.73</v>
      </c>
      <c r="Q525" s="3">
        <f>Table2[[#This Row],[Gross_Profit]]/Table2[[#This Row],[Sales_Amount]]</f>
        <v>-8.3648481222916935</v>
      </c>
      <c r="R525" t="str">
        <f>TEXT(Table2[[#This Row],[Sale_Date]],"mmmm")</f>
        <v>December</v>
      </c>
      <c r="S525" s="4">
        <f>YEAR(Table2[[#This Row],[Sale_Date]])</f>
        <v>2023</v>
      </c>
    </row>
    <row r="526" spans="1:19" x14ac:dyDescent="0.35">
      <c r="A526">
        <v>1023</v>
      </c>
      <c r="B526" s="1">
        <v>44952</v>
      </c>
      <c r="C526" t="s">
        <v>24</v>
      </c>
      <c r="D526" t="s">
        <v>15</v>
      </c>
      <c r="E526">
        <v>2676.34</v>
      </c>
      <c r="F526">
        <v>36</v>
      </c>
      <c r="G526" t="s">
        <v>29</v>
      </c>
      <c r="H526">
        <v>1991.72</v>
      </c>
      <c r="I526">
        <v>2329.37</v>
      </c>
      <c r="J526" t="s">
        <v>30</v>
      </c>
      <c r="K526">
        <v>0.28000000000000003</v>
      </c>
      <c r="L526" t="s">
        <v>31</v>
      </c>
      <c r="M526" t="s">
        <v>22</v>
      </c>
      <c r="N526" t="s">
        <v>45</v>
      </c>
      <c r="O526">
        <f>Table2[[#This Row],[Unit_Cost]]*Table2[[#This Row],[Quantity_Sold]]</f>
        <v>71701.919999999998</v>
      </c>
      <c r="P526">
        <f t="shared" si="8"/>
        <v>-69025.58</v>
      </c>
      <c r="Q526" s="3">
        <f>Table2[[#This Row],[Gross_Profit]]/Table2[[#This Row],[Sales_Amount]]</f>
        <v>-25.791035518656074</v>
      </c>
      <c r="R526" t="str">
        <f>TEXT(Table2[[#This Row],[Sale_Date]],"mmmm")</f>
        <v>January</v>
      </c>
      <c r="S526" s="4">
        <f>YEAR(Table2[[#This Row],[Sale_Date]])</f>
        <v>2023</v>
      </c>
    </row>
    <row r="527" spans="1:19" x14ac:dyDescent="0.35">
      <c r="A527">
        <v>1010</v>
      </c>
      <c r="B527" s="1">
        <v>44973</v>
      </c>
      <c r="C527" t="s">
        <v>24</v>
      </c>
      <c r="D527" t="s">
        <v>34</v>
      </c>
      <c r="E527">
        <v>1678.97</v>
      </c>
      <c r="F527">
        <v>47</v>
      </c>
      <c r="G527" t="s">
        <v>16</v>
      </c>
      <c r="H527">
        <v>2265.38</v>
      </c>
      <c r="I527">
        <v>2429.9299999999998</v>
      </c>
      <c r="J527" t="s">
        <v>17</v>
      </c>
      <c r="K527">
        <v>0.06</v>
      </c>
      <c r="L527" t="s">
        <v>27</v>
      </c>
      <c r="M527" t="s">
        <v>19</v>
      </c>
      <c r="N527" t="s">
        <v>50</v>
      </c>
      <c r="O527">
        <f>Table2[[#This Row],[Unit_Cost]]*Table2[[#This Row],[Quantity_Sold]]</f>
        <v>106472.86</v>
      </c>
      <c r="P527">
        <f t="shared" si="8"/>
        <v>-104793.89</v>
      </c>
      <c r="Q527" s="3">
        <f>Table2[[#This Row],[Gross_Profit]]/Table2[[#This Row],[Sales_Amount]]</f>
        <v>-62.415582172403319</v>
      </c>
      <c r="R527" t="str">
        <f>TEXT(Table2[[#This Row],[Sale_Date]],"mmmm")</f>
        <v>February</v>
      </c>
      <c r="S527" s="4">
        <f>YEAR(Table2[[#This Row],[Sale_Date]])</f>
        <v>2023</v>
      </c>
    </row>
    <row r="528" spans="1:19" x14ac:dyDescent="0.35">
      <c r="A528">
        <v>1069</v>
      </c>
      <c r="B528" s="1">
        <v>45214</v>
      </c>
      <c r="C528" t="s">
        <v>14</v>
      </c>
      <c r="D528" t="s">
        <v>21</v>
      </c>
      <c r="E528">
        <v>1688.58</v>
      </c>
      <c r="F528">
        <v>46</v>
      </c>
      <c r="G528" t="s">
        <v>26</v>
      </c>
      <c r="H528">
        <v>3663.51</v>
      </c>
      <c r="I528">
        <v>4007.98</v>
      </c>
      <c r="J528" t="s">
        <v>30</v>
      </c>
      <c r="K528">
        <v>0.13</v>
      </c>
      <c r="L528" t="s">
        <v>18</v>
      </c>
      <c r="M528" t="s">
        <v>19</v>
      </c>
      <c r="N528" t="s">
        <v>23</v>
      </c>
      <c r="O528">
        <f>Table2[[#This Row],[Unit_Cost]]*Table2[[#This Row],[Quantity_Sold]]</f>
        <v>168521.46000000002</v>
      </c>
      <c r="P528">
        <f t="shared" si="8"/>
        <v>-166832.88000000003</v>
      </c>
      <c r="Q528" s="3">
        <f>Table2[[#This Row],[Gross_Profit]]/Table2[[#This Row],[Sales_Amount]]</f>
        <v>-98.800696443165293</v>
      </c>
      <c r="R528" t="str">
        <f>TEXT(Table2[[#This Row],[Sale_Date]],"mmmm")</f>
        <v>October</v>
      </c>
      <c r="S528" s="4">
        <f>YEAR(Table2[[#This Row],[Sale_Date]])</f>
        <v>2023</v>
      </c>
    </row>
    <row r="529" spans="1:19" x14ac:dyDescent="0.35">
      <c r="A529">
        <v>1100</v>
      </c>
      <c r="B529" s="1">
        <v>45192</v>
      </c>
      <c r="C529" t="s">
        <v>33</v>
      </c>
      <c r="D529" t="s">
        <v>15</v>
      </c>
      <c r="E529">
        <v>797.87</v>
      </c>
      <c r="F529">
        <v>19</v>
      </c>
      <c r="G529" t="s">
        <v>35</v>
      </c>
      <c r="H529">
        <v>1820.89</v>
      </c>
      <c r="I529">
        <v>2257.92</v>
      </c>
      <c r="J529" t="s">
        <v>30</v>
      </c>
      <c r="K529">
        <v>0.12</v>
      </c>
      <c r="L529" t="s">
        <v>18</v>
      </c>
      <c r="M529" t="s">
        <v>22</v>
      </c>
      <c r="N529" t="s">
        <v>53</v>
      </c>
      <c r="O529">
        <f>Table2[[#This Row],[Unit_Cost]]*Table2[[#This Row],[Quantity_Sold]]</f>
        <v>34596.910000000003</v>
      </c>
      <c r="P529">
        <f t="shared" si="8"/>
        <v>-33799.040000000001</v>
      </c>
      <c r="Q529" s="3">
        <f>Table2[[#This Row],[Gross_Profit]]/Table2[[#This Row],[Sales_Amount]]</f>
        <v>-42.361587727324</v>
      </c>
      <c r="R529" t="str">
        <f>TEXT(Table2[[#This Row],[Sale_Date]],"mmmm")</f>
        <v>September</v>
      </c>
      <c r="S529" s="4">
        <f>YEAR(Table2[[#This Row],[Sale_Date]])</f>
        <v>2023</v>
      </c>
    </row>
    <row r="530" spans="1:19" x14ac:dyDescent="0.35">
      <c r="A530">
        <v>1034</v>
      </c>
      <c r="B530" s="1">
        <v>44942</v>
      </c>
      <c r="C530" t="s">
        <v>42</v>
      </c>
      <c r="D530" t="s">
        <v>15</v>
      </c>
      <c r="E530">
        <v>1937.9</v>
      </c>
      <c r="F530">
        <v>13</v>
      </c>
      <c r="G530" t="s">
        <v>16</v>
      </c>
      <c r="H530">
        <v>366.31</v>
      </c>
      <c r="I530">
        <v>492.68</v>
      </c>
      <c r="J530" t="s">
        <v>30</v>
      </c>
      <c r="K530">
        <v>0.12</v>
      </c>
      <c r="L530" t="s">
        <v>31</v>
      </c>
      <c r="M530" t="s">
        <v>22</v>
      </c>
      <c r="N530" t="s">
        <v>49</v>
      </c>
      <c r="O530">
        <f>Table2[[#This Row],[Unit_Cost]]*Table2[[#This Row],[Quantity_Sold]]</f>
        <v>4762.03</v>
      </c>
      <c r="P530">
        <f t="shared" si="8"/>
        <v>-2824.1299999999997</v>
      </c>
      <c r="Q530" s="3">
        <f>Table2[[#This Row],[Gross_Profit]]/Table2[[#This Row],[Sales_Amount]]</f>
        <v>-1.4573146189173845</v>
      </c>
      <c r="R530" t="str">
        <f>TEXT(Table2[[#This Row],[Sale_Date]],"mmmm")</f>
        <v>January</v>
      </c>
      <c r="S530" s="4">
        <f>YEAR(Table2[[#This Row],[Sale_Date]])</f>
        <v>2023</v>
      </c>
    </row>
    <row r="531" spans="1:19" x14ac:dyDescent="0.35">
      <c r="A531">
        <v>1052</v>
      </c>
      <c r="B531" s="1">
        <v>45125</v>
      </c>
      <c r="C531" t="s">
        <v>38</v>
      </c>
      <c r="D531" t="s">
        <v>25</v>
      </c>
      <c r="E531">
        <v>6675.77</v>
      </c>
      <c r="F531">
        <v>42</v>
      </c>
      <c r="G531" t="s">
        <v>35</v>
      </c>
      <c r="H531">
        <v>417.96</v>
      </c>
      <c r="I531">
        <v>907.63</v>
      </c>
      <c r="J531" t="s">
        <v>30</v>
      </c>
      <c r="K531">
        <v>0.04</v>
      </c>
      <c r="L531" t="s">
        <v>18</v>
      </c>
      <c r="M531" t="s">
        <v>22</v>
      </c>
      <c r="N531" t="s">
        <v>39</v>
      </c>
      <c r="O531">
        <f>Table2[[#This Row],[Unit_Cost]]*Table2[[#This Row],[Quantity_Sold]]</f>
        <v>17554.32</v>
      </c>
      <c r="P531">
        <f t="shared" si="8"/>
        <v>-10878.55</v>
      </c>
      <c r="Q531" s="3">
        <f>Table2[[#This Row],[Gross_Profit]]/Table2[[#This Row],[Sales_Amount]]</f>
        <v>-1.6295573394529768</v>
      </c>
      <c r="R531" t="str">
        <f>TEXT(Table2[[#This Row],[Sale_Date]],"mmmm")</f>
        <v>July</v>
      </c>
      <c r="S531" s="4">
        <f>YEAR(Table2[[#This Row],[Sale_Date]])</f>
        <v>2023</v>
      </c>
    </row>
    <row r="532" spans="1:19" x14ac:dyDescent="0.35">
      <c r="A532">
        <v>1095</v>
      </c>
      <c r="B532" s="1">
        <v>45208</v>
      </c>
      <c r="C532" t="s">
        <v>24</v>
      </c>
      <c r="D532" t="s">
        <v>15</v>
      </c>
      <c r="E532">
        <v>8828.74</v>
      </c>
      <c r="F532">
        <v>21</v>
      </c>
      <c r="G532" t="s">
        <v>29</v>
      </c>
      <c r="H532">
        <v>621.04999999999995</v>
      </c>
      <c r="I532">
        <v>820.36999999999898</v>
      </c>
      <c r="J532" t="s">
        <v>17</v>
      </c>
      <c r="K532">
        <v>0.24</v>
      </c>
      <c r="L532" t="s">
        <v>27</v>
      </c>
      <c r="M532" t="s">
        <v>19</v>
      </c>
      <c r="N532" t="s">
        <v>45</v>
      </c>
      <c r="O532">
        <f>Table2[[#This Row],[Unit_Cost]]*Table2[[#This Row],[Quantity_Sold]]</f>
        <v>13042.05</v>
      </c>
      <c r="P532">
        <f t="shared" si="8"/>
        <v>-4213.3099999999995</v>
      </c>
      <c r="Q532" s="3">
        <f>Table2[[#This Row],[Gross_Profit]]/Table2[[#This Row],[Sales_Amount]]</f>
        <v>-0.47722664842321777</v>
      </c>
      <c r="R532" t="str">
        <f>TEXT(Table2[[#This Row],[Sale_Date]],"mmmm")</f>
        <v>October</v>
      </c>
      <c r="S532" s="4">
        <f>YEAR(Table2[[#This Row],[Sale_Date]])</f>
        <v>2023</v>
      </c>
    </row>
    <row r="533" spans="1:19" x14ac:dyDescent="0.35">
      <c r="A533">
        <v>1010</v>
      </c>
      <c r="B533" s="1">
        <v>45012</v>
      </c>
      <c r="C533" t="s">
        <v>38</v>
      </c>
      <c r="D533" t="s">
        <v>25</v>
      </c>
      <c r="E533">
        <v>8159.84</v>
      </c>
      <c r="F533">
        <v>37</v>
      </c>
      <c r="G533" t="s">
        <v>29</v>
      </c>
      <c r="H533">
        <v>4354.92</v>
      </c>
      <c r="I533">
        <v>4495.88</v>
      </c>
      <c r="J533" t="s">
        <v>17</v>
      </c>
      <c r="K533">
        <v>0.01</v>
      </c>
      <c r="L533" t="s">
        <v>27</v>
      </c>
      <c r="M533" t="s">
        <v>19</v>
      </c>
      <c r="N533" t="s">
        <v>39</v>
      </c>
      <c r="O533">
        <f>Table2[[#This Row],[Unit_Cost]]*Table2[[#This Row],[Quantity_Sold]]</f>
        <v>161132.04</v>
      </c>
      <c r="P533">
        <f t="shared" si="8"/>
        <v>-152972.20000000001</v>
      </c>
      <c r="Q533" s="3">
        <f>Table2[[#This Row],[Gross_Profit]]/Table2[[#This Row],[Sales_Amount]]</f>
        <v>-18.746960724720093</v>
      </c>
      <c r="R533" t="str">
        <f>TEXT(Table2[[#This Row],[Sale_Date]],"mmmm")</f>
        <v>March</v>
      </c>
      <c r="S533" s="4">
        <f>YEAR(Table2[[#This Row],[Sale_Date]])</f>
        <v>2023</v>
      </c>
    </row>
    <row r="534" spans="1:19" x14ac:dyDescent="0.35">
      <c r="A534">
        <v>1019</v>
      </c>
      <c r="B534" s="1">
        <v>45176</v>
      </c>
      <c r="C534" t="s">
        <v>14</v>
      </c>
      <c r="D534" t="s">
        <v>21</v>
      </c>
      <c r="E534">
        <v>6882.83</v>
      </c>
      <c r="F534">
        <v>27</v>
      </c>
      <c r="G534" t="s">
        <v>35</v>
      </c>
      <c r="H534">
        <v>2387.52</v>
      </c>
      <c r="I534">
        <v>2604.06</v>
      </c>
      <c r="J534" t="s">
        <v>17</v>
      </c>
      <c r="K534">
        <v>0.16</v>
      </c>
      <c r="L534" t="s">
        <v>18</v>
      </c>
      <c r="M534" t="s">
        <v>19</v>
      </c>
      <c r="N534" t="s">
        <v>23</v>
      </c>
      <c r="O534">
        <f>Table2[[#This Row],[Unit_Cost]]*Table2[[#This Row],[Quantity_Sold]]</f>
        <v>64463.040000000001</v>
      </c>
      <c r="P534">
        <f t="shared" si="8"/>
        <v>-57580.21</v>
      </c>
      <c r="Q534" s="3">
        <f>Table2[[#This Row],[Gross_Profit]]/Table2[[#This Row],[Sales_Amount]]</f>
        <v>-8.3657754150545625</v>
      </c>
      <c r="R534" t="str">
        <f>TEXT(Table2[[#This Row],[Sale_Date]],"mmmm")</f>
        <v>September</v>
      </c>
      <c r="S534" s="4">
        <f>YEAR(Table2[[#This Row],[Sale_Date]])</f>
        <v>2023</v>
      </c>
    </row>
    <row r="535" spans="1:19" x14ac:dyDescent="0.35">
      <c r="A535">
        <v>1058</v>
      </c>
      <c r="B535" s="1">
        <v>45196</v>
      </c>
      <c r="C535" t="s">
        <v>38</v>
      </c>
      <c r="D535" t="s">
        <v>21</v>
      </c>
      <c r="E535">
        <v>1193.28</v>
      </c>
      <c r="F535">
        <v>29</v>
      </c>
      <c r="G535" t="s">
        <v>35</v>
      </c>
      <c r="H535">
        <v>3578.77</v>
      </c>
      <c r="I535">
        <v>3635.02</v>
      </c>
      <c r="J535" t="s">
        <v>30</v>
      </c>
      <c r="K535">
        <v>0.2</v>
      </c>
      <c r="L535" t="s">
        <v>27</v>
      </c>
      <c r="M535" t="s">
        <v>22</v>
      </c>
      <c r="N535" t="s">
        <v>41</v>
      </c>
      <c r="O535">
        <f>Table2[[#This Row],[Unit_Cost]]*Table2[[#This Row],[Quantity_Sold]]</f>
        <v>103784.33</v>
      </c>
      <c r="P535">
        <f t="shared" si="8"/>
        <v>-102591.05</v>
      </c>
      <c r="Q535" s="3">
        <f>Table2[[#This Row],[Gross_Profit]]/Table2[[#This Row],[Sales_Amount]]</f>
        <v>-85.973996044515957</v>
      </c>
      <c r="R535" t="str">
        <f>TEXT(Table2[[#This Row],[Sale_Date]],"mmmm")</f>
        <v>September</v>
      </c>
      <c r="S535" s="4">
        <f>YEAR(Table2[[#This Row],[Sale_Date]])</f>
        <v>2023</v>
      </c>
    </row>
    <row r="536" spans="1:19" x14ac:dyDescent="0.35">
      <c r="A536">
        <v>1096</v>
      </c>
      <c r="B536" s="1">
        <v>45261</v>
      </c>
      <c r="C536" t="s">
        <v>14</v>
      </c>
      <c r="D536" t="s">
        <v>34</v>
      </c>
      <c r="E536">
        <v>2962.96</v>
      </c>
      <c r="F536">
        <v>20</v>
      </c>
      <c r="G536" t="s">
        <v>16</v>
      </c>
      <c r="H536">
        <v>1994.9</v>
      </c>
      <c r="I536">
        <v>2066.5</v>
      </c>
      <c r="J536" t="s">
        <v>17</v>
      </c>
      <c r="K536">
        <v>0.06</v>
      </c>
      <c r="L536" t="s">
        <v>27</v>
      </c>
      <c r="M536" t="s">
        <v>19</v>
      </c>
      <c r="N536" t="s">
        <v>46</v>
      </c>
      <c r="O536">
        <f>Table2[[#This Row],[Unit_Cost]]*Table2[[#This Row],[Quantity_Sold]]</f>
        <v>39898</v>
      </c>
      <c r="P536">
        <f t="shared" si="8"/>
        <v>-36935.040000000001</v>
      </c>
      <c r="Q536" s="3">
        <f>Table2[[#This Row],[Gross_Profit]]/Table2[[#This Row],[Sales_Amount]]</f>
        <v>-12.465588465588466</v>
      </c>
      <c r="R536" t="str">
        <f>TEXT(Table2[[#This Row],[Sale_Date]],"mmmm")</f>
        <v>December</v>
      </c>
      <c r="S536" s="4">
        <f>YEAR(Table2[[#This Row],[Sale_Date]])</f>
        <v>2023</v>
      </c>
    </row>
    <row r="537" spans="1:19" x14ac:dyDescent="0.35">
      <c r="A537">
        <v>1001</v>
      </c>
      <c r="B537" s="1">
        <v>45043</v>
      </c>
      <c r="C537" t="s">
        <v>38</v>
      </c>
      <c r="D537" t="s">
        <v>34</v>
      </c>
      <c r="E537">
        <v>3167.09</v>
      </c>
      <c r="F537">
        <v>25</v>
      </c>
      <c r="G537" t="s">
        <v>35</v>
      </c>
      <c r="H537">
        <v>1330.62</v>
      </c>
      <c r="I537">
        <v>1543.6899999999901</v>
      </c>
      <c r="J537" t="s">
        <v>30</v>
      </c>
      <c r="K537">
        <v>0.27</v>
      </c>
      <c r="L537" t="s">
        <v>31</v>
      </c>
      <c r="M537" t="s">
        <v>19</v>
      </c>
      <c r="N537" t="s">
        <v>48</v>
      </c>
      <c r="O537">
        <f>Table2[[#This Row],[Unit_Cost]]*Table2[[#This Row],[Quantity_Sold]]</f>
        <v>33265.5</v>
      </c>
      <c r="P537">
        <f t="shared" si="8"/>
        <v>-30098.41</v>
      </c>
      <c r="Q537" s="3">
        <f>Table2[[#This Row],[Gross_Profit]]/Table2[[#This Row],[Sales_Amount]]</f>
        <v>-9.5034905859953458</v>
      </c>
      <c r="R537" t="str">
        <f>TEXT(Table2[[#This Row],[Sale_Date]],"mmmm")</f>
        <v>April</v>
      </c>
      <c r="S537" s="4">
        <f>YEAR(Table2[[#This Row],[Sale_Date]])</f>
        <v>2023</v>
      </c>
    </row>
    <row r="538" spans="1:19" x14ac:dyDescent="0.35">
      <c r="A538">
        <v>1069</v>
      </c>
      <c r="B538" s="1">
        <v>44933</v>
      </c>
      <c r="C538" t="s">
        <v>42</v>
      </c>
      <c r="D538" t="s">
        <v>34</v>
      </c>
      <c r="E538">
        <v>2574.5700000000002</v>
      </c>
      <c r="F538">
        <v>6</v>
      </c>
      <c r="G538" t="s">
        <v>26</v>
      </c>
      <c r="H538">
        <v>1768.6</v>
      </c>
      <c r="I538">
        <v>2152.1999999999998</v>
      </c>
      <c r="J538" t="s">
        <v>30</v>
      </c>
      <c r="K538">
        <v>0.25</v>
      </c>
      <c r="L538" t="s">
        <v>27</v>
      </c>
      <c r="M538" t="s">
        <v>22</v>
      </c>
      <c r="N538" t="s">
        <v>52</v>
      </c>
      <c r="O538">
        <f>Table2[[#This Row],[Unit_Cost]]*Table2[[#This Row],[Quantity_Sold]]</f>
        <v>10611.599999999999</v>
      </c>
      <c r="P538">
        <f t="shared" si="8"/>
        <v>-8037.0299999999988</v>
      </c>
      <c r="Q538" s="3">
        <f>Table2[[#This Row],[Gross_Profit]]/Table2[[#This Row],[Sales_Amount]]</f>
        <v>-3.1216979922860899</v>
      </c>
      <c r="R538" t="str">
        <f>TEXT(Table2[[#This Row],[Sale_Date]],"mmmm")</f>
        <v>January</v>
      </c>
      <c r="S538" s="4">
        <f>YEAR(Table2[[#This Row],[Sale_Date]])</f>
        <v>2023</v>
      </c>
    </row>
    <row r="539" spans="1:19" x14ac:dyDescent="0.3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c r="O539">
        <f>Table2[[#This Row],[Unit_Cost]]*Table2[[#This Row],[Quantity_Sold]]</f>
        <v>143323.19999999998</v>
      </c>
      <c r="P539">
        <f t="shared" si="8"/>
        <v>-138124.63999999998</v>
      </c>
      <c r="Q539" s="3">
        <f>Table2[[#This Row],[Gross_Profit]]/Table2[[#This Row],[Sales_Amount]]</f>
        <v>-26.569788556831117</v>
      </c>
      <c r="R539" t="str">
        <f>TEXT(Table2[[#This Row],[Sale_Date]],"mmmm")</f>
        <v>May</v>
      </c>
      <c r="S539" s="4">
        <f>YEAR(Table2[[#This Row],[Sale_Date]])</f>
        <v>2023</v>
      </c>
    </row>
    <row r="540" spans="1:19" x14ac:dyDescent="0.35">
      <c r="A540">
        <v>1016</v>
      </c>
      <c r="B540" s="1">
        <v>45102</v>
      </c>
      <c r="C540" t="s">
        <v>42</v>
      </c>
      <c r="D540" t="s">
        <v>21</v>
      </c>
      <c r="E540">
        <v>5401.98</v>
      </c>
      <c r="F540">
        <v>2</v>
      </c>
      <c r="G540" t="s">
        <v>35</v>
      </c>
      <c r="H540">
        <v>3144.82</v>
      </c>
      <c r="I540">
        <v>3480.58</v>
      </c>
      <c r="J540" t="s">
        <v>17</v>
      </c>
      <c r="K540">
        <v>0.12</v>
      </c>
      <c r="L540" t="s">
        <v>18</v>
      </c>
      <c r="M540" t="s">
        <v>22</v>
      </c>
      <c r="N540" t="s">
        <v>51</v>
      </c>
      <c r="O540">
        <f>Table2[[#This Row],[Unit_Cost]]*Table2[[#This Row],[Quantity_Sold]]</f>
        <v>6289.64</v>
      </c>
      <c r="P540">
        <f t="shared" si="8"/>
        <v>-887.66000000000076</v>
      </c>
      <c r="Q540" s="3">
        <f>Table2[[#This Row],[Gross_Profit]]/Table2[[#This Row],[Sales_Amount]]</f>
        <v>-0.16432123036368163</v>
      </c>
      <c r="R540" t="str">
        <f>TEXT(Table2[[#This Row],[Sale_Date]],"mmmm")</f>
        <v>June</v>
      </c>
      <c r="S540" s="4">
        <f>YEAR(Table2[[#This Row],[Sale_Date]])</f>
        <v>2023</v>
      </c>
    </row>
    <row r="541" spans="1:19" x14ac:dyDescent="0.35">
      <c r="A541">
        <v>1024</v>
      </c>
      <c r="B541" s="1">
        <v>45254</v>
      </c>
      <c r="C541" t="s">
        <v>42</v>
      </c>
      <c r="D541" t="s">
        <v>25</v>
      </c>
      <c r="E541">
        <v>3633.17</v>
      </c>
      <c r="F541">
        <v>22</v>
      </c>
      <c r="G541" t="s">
        <v>26</v>
      </c>
      <c r="H541">
        <v>4691.32</v>
      </c>
      <c r="I541">
        <v>4752.88</v>
      </c>
      <c r="J541" t="s">
        <v>17</v>
      </c>
      <c r="K541">
        <v>7.0000000000000007E-2</v>
      </c>
      <c r="L541" t="s">
        <v>27</v>
      </c>
      <c r="M541" t="s">
        <v>22</v>
      </c>
      <c r="N541" t="s">
        <v>43</v>
      </c>
      <c r="O541">
        <f>Table2[[#This Row],[Unit_Cost]]*Table2[[#This Row],[Quantity_Sold]]</f>
        <v>103209.04</v>
      </c>
      <c r="P541">
        <f t="shared" si="8"/>
        <v>-99575.87</v>
      </c>
      <c r="Q541" s="3">
        <f>Table2[[#This Row],[Gross_Profit]]/Table2[[#This Row],[Sales_Amount]]</f>
        <v>-27.407434829639129</v>
      </c>
      <c r="R541" t="str">
        <f>TEXT(Table2[[#This Row],[Sale_Date]],"mmmm")</f>
        <v>November</v>
      </c>
      <c r="S541" s="4">
        <f>YEAR(Table2[[#This Row],[Sale_Date]])</f>
        <v>2023</v>
      </c>
    </row>
    <row r="542" spans="1:19" x14ac:dyDescent="0.35">
      <c r="A542">
        <v>1080</v>
      </c>
      <c r="B542" s="1">
        <v>45241</v>
      </c>
      <c r="C542" t="s">
        <v>42</v>
      </c>
      <c r="D542" t="s">
        <v>34</v>
      </c>
      <c r="E542">
        <v>3602.51</v>
      </c>
      <c r="F542">
        <v>32</v>
      </c>
      <c r="G542" t="s">
        <v>35</v>
      </c>
      <c r="H542">
        <v>3414.54</v>
      </c>
      <c r="I542">
        <v>3753.83</v>
      </c>
      <c r="J542" t="s">
        <v>30</v>
      </c>
      <c r="K542">
        <v>0.22</v>
      </c>
      <c r="L542" t="s">
        <v>18</v>
      </c>
      <c r="M542" t="s">
        <v>22</v>
      </c>
      <c r="N542" t="s">
        <v>52</v>
      </c>
      <c r="O542">
        <f>Table2[[#This Row],[Unit_Cost]]*Table2[[#This Row],[Quantity_Sold]]</f>
        <v>109265.28</v>
      </c>
      <c r="P542">
        <f t="shared" si="8"/>
        <v>-105662.77</v>
      </c>
      <c r="Q542" s="3">
        <f>Table2[[#This Row],[Gross_Profit]]/Table2[[#This Row],[Sales_Amount]]</f>
        <v>-29.330319693769066</v>
      </c>
      <c r="R542" t="str">
        <f>TEXT(Table2[[#This Row],[Sale_Date]],"mmmm")</f>
        <v>November</v>
      </c>
      <c r="S542" s="4">
        <f>YEAR(Table2[[#This Row],[Sale_Date]])</f>
        <v>2023</v>
      </c>
    </row>
    <row r="543" spans="1:19" x14ac:dyDescent="0.35">
      <c r="A543">
        <v>1002</v>
      </c>
      <c r="B543" s="1">
        <v>45141</v>
      </c>
      <c r="C543" t="s">
        <v>42</v>
      </c>
      <c r="D543" t="s">
        <v>25</v>
      </c>
      <c r="E543">
        <v>8302.7000000000007</v>
      </c>
      <c r="F543">
        <v>16</v>
      </c>
      <c r="G543" t="s">
        <v>16</v>
      </c>
      <c r="H543">
        <v>2872.4</v>
      </c>
      <c r="I543">
        <v>3193.76</v>
      </c>
      <c r="J543" t="s">
        <v>17</v>
      </c>
      <c r="K543">
        <v>0.04</v>
      </c>
      <c r="L543" t="s">
        <v>31</v>
      </c>
      <c r="M543" t="s">
        <v>19</v>
      </c>
      <c r="N543" t="s">
        <v>43</v>
      </c>
      <c r="O543">
        <f>Table2[[#This Row],[Unit_Cost]]*Table2[[#This Row],[Quantity_Sold]]</f>
        <v>45958.400000000001</v>
      </c>
      <c r="P543">
        <f t="shared" si="8"/>
        <v>-37655.699999999997</v>
      </c>
      <c r="Q543" s="3">
        <f>Table2[[#This Row],[Gross_Profit]]/Table2[[#This Row],[Sales_Amount]]</f>
        <v>-4.5353559685403537</v>
      </c>
      <c r="R543" t="str">
        <f>TEXT(Table2[[#This Row],[Sale_Date]],"mmmm")</f>
        <v>August</v>
      </c>
      <c r="S543" s="4">
        <f>YEAR(Table2[[#This Row],[Sale_Date]])</f>
        <v>2023</v>
      </c>
    </row>
    <row r="544" spans="1:19" x14ac:dyDescent="0.35">
      <c r="A544">
        <v>1092</v>
      </c>
      <c r="B544" s="1">
        <v>45008</v>
      </c>
      <c r="C544" t="s">
        <v>14</v>
      </c>
      <c r="D544" t="s">
        <v>25</v>
      </c>
      <c r="E544">
        <v>7914</v>
      </c>
      <c r="F544">
        <v>18</v>
      </c>
      <c r="G544" t="s">
        <v>26</v>
      </c>
      <c r="H544">
        <v>3070.47</v>
      </c>
      <c r="I544">
        <v>3475.29</v>
      </c>
      <c r="J544" t="s">
        <v>17</v>
      </c>
      <c r="K544">
        <v>0.2</v>
      </c>
      <c r="L544" t="s">
        <v>27</v>
      </c>
      <c r="M544" t="s">
        <v>19</v>
      </c>
      <c r="N544" t="s">
        <v>32</v>
      </c>
      <c r="O544">
        <f>Table2[[#This Row],[Unit_Cost]]*Table2[[#This Row],[Quantity_Sold]]</f>
        <v>55268.46</v>
      </c>
      <c r="P544">
        <f t="shared" si="8"/>
        <v>-47354.46</v>
      </c>
      <c r="Q544" s="3">
        <f>Table2[[#This Row],[Gross_Profit]]/Table2[[#This Row],[Sales_Amount]]</f>
        <v>-5.9836315390447306</v>
      </c>
      <c r="R544" t="str">
        <f>TEXT(Table2[[#This Row],[Sale_Date]],"mmmm")</f>
        <v>March</v>
      </c>
      <c r="S544" s="4">
        <f>YEAR(Table2[[#This Row],[Sale_Date]])</f>
        <v>2023</v>
      </c>
    </row>
    <row r="545" spans="1:19" x14ac:dyDescent="0.35">
      <c r="A545">
        <v>1032</v>
      </c>
      <c r="B545" s="1">
        <v>45149</v>
      </c>
      <c r="C545" t="s">
        <v>24</v>
      </c>
      <c r="D545" t="s">
        <v>34</v>
      </c>
      <c r="E545">
        <v>3147.18</v>
      </c>
      <c r="F545">
        <v>5</v>
      </c>
      <c r="G545" t="s">
        <v>26</v>
      </c>
      <c r="H545">
        <v>4714.74</v>
      </c>
      <c r="I545">
        <v>5129.1099999999997</v>
      </c>
      <c r="J545" t="s">
        <v>30</v>
      </c>
      <c r="K545">
        <v>0.25</v>
      </c>
      <c r="L545" t="s">
        <v>27</v>
      </c>
      <c r="M545" t="s">
        <v>19</v>
      </c>
      <c r="N545" t="s">
        <v>50</v>
      </c>
      <c r="O545">
        <f>Table2[[#This Row],[Unit_Cost]]*Table2[[#This Row],[Quantity_Sold]]</f>
        <v>23573.699999999997</v>
      </c>
      <c r="P545">
        <f t="shared" si="8"/>
        <v>-20426.519999999997</v>
      </c>
      <c r="Q545" s="3">
        <f>Table2[[#This Row],[Gross_Profit]]/Table2[[#This Row],[Sales_Amount]]</f>
        <v>-6.4904199950431805</v>
      </c>
      <c r="R545" t="str">
        <f>TEXT(Table2[[#This Row],[Sale_Date]],"mmmm")</f>
        <v>August</v>
      </c>
      <c r="S545" s="4">
        <f>YEAR(Table2[[#This Row],[Sale_Date]])</f>
        <v>2023</v>
      </c>
    </row>
    <row r="546" spans="1:19" x14ac:dyDescent="0.35">
      <c r="A546">
        <v>1091</v>
      </c>
      <c r="B546" s="1">
        <v>45029</v>
      </c>
      <c r="C546" t="s">
        <v>38</v>
      </c>
      <c r="D546" t="s">
        <v>21</v>
      </c>
      <c r="E546">
        <v>9146.51</v>
      </c>
      <c r="F546">
        <v>36</v>
      </c>
      <c r="G546" t="s">
        <v>35</v>
      </c>
      <c r="H546">
        <v>3951.59</v>
      </c>
      <c r="I546">
        <v>4387.01</v>
      </c>
      <c r="J546" t="s">
        <v>30</v>
      </c>
      <c r="K546">
        <v>7.0000000000000007E-2</v>
      </c>
      <c r="L546" t="s">
        <v>27</v>
      </c>
      <c r="M546" t="s">
        <v>22</v>
      </c>
      <c r="N546" t="s">
        <v>41</v>
      </c>
      <c r="O546">
        <f>Table2[[#This Row],[Unit_Cost]]*Table2[[#This Row],[Quantity_Sold]]</f>
        <v>142257.24</v>
      </c>
      <c r="P546">
        <f t="shared" si="8"/>
        <v>-133110.72999999998</v>
      </c>
      <c r="Q546" s="3">
        <f>Table2[[#This Row],[Gross_Profit]]/Table2[[#This Row],[Sales_Amount]]</f>
        <v>-14.553171646890451</v>
      </c>
      <c r="R546" t="str">
        <f>TEXT(Table2[[#This Row],[Sale_Date]],"mmmm")</f>
        <v>April</v>
      </c>
      <c r="S546" s="4">
        <f>YEAR(Table2[[#This Row],[Sale_Date]])</f>
        <v>2023</v>
      </c>
    </row>
    <row r="547" spans="1:19" x14ac:dyDescent="0.35">
      <c r="A547">
        <v>1084</v>
      </c>
      <c r="B547" s="1">
        <v>45199</v>
      </c>
      <c r="C547" t="s">
        <v>42</v>
      </c>
      <c r="D547" t="s">
        <v>34</v>
      </c>
      <c r="E547">
        <v>9532.8700000000008</v>
      </c>
      <c r="F547">
        <v>30</v>
      </c>
      <c r="G547" t="s">
        <v>26</v>
      </c>
      <c r="H547">
        <v>169</v>
      </c>
      <c r="I547">
        <v>381.91999999999899</v>
      </c>
      <c r="J547" t="s">
        <v>17</v>
      </c>
      <c r="K547">
        <v>0.26</v>
      </c>
      <c r="L547" t="s">
        <v>18</v>
      </c>
      <c r="M547" t="s">
        <v>22</v>
      </c>
      <c r="N547" t="s">
        <v>52</v>
      </c>
      <c r="O547">
        <f>Table2[[#This Row],[Unit_Cost]]*Table2[[#This Row],[Quantity_Sold]]</f>
        <v>5070</v>
      </c>
      <c r="P547">
        <f t="shared" si="8"/>
        <v>4462.8700000000008</v>
      </c>
      <c r="Q547" s="3">
        <f>Table2[[#This Row],[Gross_Profit]]/Table2[[#This Row],[Sales_Amount]]</f>
        <v>0.46815596981811358</v>
      </c>
      <c r="R547" t="str">
        <f>TEXT(Table2[[#This Row],[Sale_Date]],"mmmm")</f>
        <v>September</v>
      </c>
      <c r="S547" s="4">
        <f>YEAR(Table2[[#This Row],[Sale_Date]])</f>
        <v>2023</v>
      </c>
    </row>
    <row r="548" spans="1:19" x14ac:dyDescent="0.35">
      <c r="A548">
        <v>1024</v>
      </c>
      <c r="B548" s="1">
        <v>44940</v>
      </c>
      <c r="C548" t="s">
        <v>14</v>
      </c>
      <c r="D548" t="s">
        <v>25</v>
      </c>
      <c r="E548">
        <v>3334.75</v>
      </c>
      <c r="F548">
        <v>45</v>
      </c>
      <c r="G548" t="s">
        <v>29</v>
      </c>
      <c r="H548">
        <v>2693.99</v>
      </c>
      <c r="I548">
        <v>3045.9399999999901</v>
      </c>
      <c r="J548" t="s">
        <v>30</v>
      </c>
      <c r="K548">
        <v>0.01</v>
      </c>
      <c r="L548" t="s">
        <v>18</v>
      </c>
      <c r="M548" t="s">
        <v>22</v>
      </c>
      <c r="N548" t="s">
        <v>32</v>
      </c>
      <c r="O548">
        <f>Table2[[#This Row],[Unit_Cost]]*Table2[[#This Row],[Quantity_Sold]]</f>
        <v>121229.54999999999</v>
      </c>
      <c r="P548">
        <f t="shared" si="8"/>
        <v>-117894.79999999999</v>
      </c>
      <c r="Q548" s="3">
        <f>Table2[[#This Row],[Gross_Profit]]/Table2[[#This Row],[Sales_Amount]]</f>
        <v>-35.353414798710546</v>
      </c>
      <c r="R548" t="str">
        <f>TEXT(Table2[[#This Row],[Sale_Date]],"mmmm")</f>
        <v>January</v>
      </c>
      <c r="S548" s="4">
        <f>YEAR(Table2[[#This Row],[Sale_Date]])</f>
        <v>2023</v>
      </c>
    </row>
    <row r="549" spans="1:19" x14ac:dyDescent="0.35">
      <c r="A549">
        <v>1012</v>
      </c>
      <c r="B549" s="1">
        <v>45085</v>
      </c>
      <c r="C549" t="s">
        <v>14</v>
      </c>
      <c r="D549" t="s">
        <v>34</v>
      </c>
      <c r="E549">
        <v>3608.81</v>
      </c>
      <c r="F549">
        <v>19</v>
      </c>
      <c r="G549" t="s">
        <v>16</v>
      </c>
      <c r="H549">
        <v>3457.28</v>
      </c>
      <c r="I549">
        <v>3598.72</v>
      </c>
      <c r="J549" t="s">
        <v>30</v>
      </c>
      <c r="K549">
        <v>0.27</v>
      </c>
      <c r="L549" t="s">
        <v>27</v>
      </c>
      <c r="M549" t="s">
        <v>19</v>
      </c>
      <c r="N549" t="s">
        <v>46</v>
      </c>
      <c r="O549">
        <f>Table2[[#This Row],[Unit_Cost]]*Table2[[#This Row],[Quantity_Sold]]</f>
        <v>65688.320000000007</v>
      </c>
      <c r="P549">
        <f t="shared" si="8"/>
        <v>-62079.510000000009</v>
      </c>
      <c r="Q549" s="3">
        <f>Table2[[#This Row],[Gross_Profit]]/Table2[[#This Row],[Sales_Amount]]</f>
        <v>-17.202210701034417</v>
      </c>
      <c r="R549" t="str">
        <f>TEXT(Table2[[#This Row],[Sale_Date]],"mmmm")</f>
        <v>June</v>
      </c>
      <c r="S549" s="4">
        <f>YEAR(Table2[[#This Row],[Sale_Date]])</f>
        <v>2023</v>
      </c>
    </row>
    <row r="550" spans="1:19" x14ac:dyDescent="0.35">
      <c r="A550">
        <v>1050</v>
      </c>
      <c r="B550" s="1">
        <v>45078</v>
      </c>
      <c r="C550" t="s">
        <v>14</v>
      </c>
      <c r="D550" t="s">
        <v>25</v>
      </c>
      <c r="E550">
        <v>5105.78</v>
      </c>
      <c r="F550">
        <v>23</v>
      </c>
      <c r="G550" t="s">
        <v>16</v>
      </c>
      <c r="H550">
        <v>3756.06</v>
      </c>
      <c r="I550">
        <v>4255.7299999999996</v>
      </c>
      <c r="J550" t="s">
        <v>17</v>
      </c>
      <c r="K550">
        <v>0.04</v>
      </c>
      <c r="L550" t="s">
        <v>18</v>
      </c>
      <c r="M550" t="s">
        <v>19</v>
      </c>
      <c r="N550" t="s">
        <v>32</v>
      </c>
      <c r="O550">
        <f>Table2[[#This Row],[Unit_Cost]]*Table2[[#This Row],[Quantity_Sold]]</f>
        <v>86389.38</v>
      </c>
      <c r="P550">
        <f t="shared" si="8"/>
        <v>-81283.600000000006</v>
      </c>
      <c r="Q550" s="3">
        <f>Table2[[#This Row],[Gross_Profit]]/Table2[[#This Row],[Sales_Amount]]</f>
        <v>-15.919918210342006</v>
      </c>
      <c r="R550" t="str">
        <f>TEXT(Table2[[#This Row],[Sale_Date]],"mmmm")</f>
        <v>June</v>
      </c>
      <c r="S550" s="4">
        <f>YEAR(Table2[[#This Row],[Sale_Date]])</f>
        <v>2023</v>
      </c>
    </row>
    <row r="551" spans="1:19" x14ac:dyDescent="0.35">
      <c r="A551">
        <v>1035</v>
      </c>
      <c r="B551" s="1">
        <v>45034</v>
      </c>
      <c r="C551" t="s">
        <v>24</v>
      </c>
      <c r="D551" t="s">
        <v>25</v>
      </c>
      <c r="E551">
        <v>9417.1</v>
      </c>
      <c r="F551">
        <v>34</v>
      </c>
      <c r="G551" t="s">
        <v>26</v>
      </c>
      <c r="H551">
        <v>1105.05</v>
      </c>
      <c r="I551">
        <v>1200.96</v>
      </c>
      <c r="J551" t="s">
        <v>17</v>
      </c>
      <c r="K551">
        <v>0.19</v>
      </c>
      <c r="L551" t="s">
        <v>18</v>
      </c>
      <c r="M551" t="s">
        <v>19</v>
      </c>
      <c r="N551" t="s">
        <v>28</v>
      </c>
      <c r="O551">
        <f>Table2[[#This Row],[Unit_Cost]]*Table2[[#This Row],[Quantity_Sold]]</f>
        <v>37571.699999999997</v>
      </c>
      <c r="P551">
        <f t="shared" si="8"/>
        <v>-28154.6</v>
      </c>
      <c r="Q551" s="3">
        <f>Table2[[#This Row],[Gross_Profit]]/Table2[[#This Row],[Sales_Amount]]</f>
        <v>-2.989731445986556</v>
      </c>
      <c r="R551" t="str">
        <f>TEXT(Table2[[#This Row],[Sale_Date]],"mmmm")</f>
        <v>April</v>
      </c>
      <c r="S551" s="4">
        <f>YEAR(Table2[[#This Row],[Sale_Date]])</f>
        <v>2023</v>
      </c>
    </row>
    <row r="552" spans="1:19" x14ac:dyDescent="0.35">
      <c r="A552">
        <v>1033</v>
      </c>
      <c r="B552" s="1">
        <v>45114</v>
      </c>
      <c r="C552" t="s">
        <v>38</v>
      </c>
      <c r="D552" t="s">
        <v>34</v>
      </c>
      <c r="E552">
        <v>8775.56</v>
      </c>
      <c r="F552">
        <v>13</v>
      </c>
      <c r="G552" t="s">
        <v>26</v>
      </c>
      <c r="H552">
        <v>4342.53</v>
      </c>
      <c r="I552">
        <v>4357.49</v>
      </c>
      <c r="J552" t="s">
        <v>30</v>
      </c>
      <c r="K552">
        <v>0.08</v>
      </c>
      <c r="L552" t="s">
        <v>27</v>
      </c>
      <c r="M552" t="s">
        <v>19</v>
      </c>
      <c r="N552" t="s">
        <v>48</v>
      </c>
      <c r="O552">
        <f>Table2[[#This Row],[Unit_Cost]]*Table2[[#This Row],[Quantity_Sold]]</f>
        <v>56452.89</v>
      </c>
      <c r="P552">
        <f t="shared" si="8"/>
        <v>-47677.33</v>
      </c>
      <c r="Q552" s="3">
        <f>Table2[[#This Row],[Gross_Profit]]/Table2[[#This Row],[Sales_Amount]]</f>
        <v>-5.4329672408370522</v>
      </c>
      <c r="R552" t="str">
        <f>TEXT(Table2[[#This Row],[Sale_Date]],"mmmm")</f>
        <v>July</v>
      </c>
      <c r="S552" s="4">
        <f>YEAR(Table2[[#This Row],[Sale_Date]])</f>
        <v>2023</v>
      </c>
    </row>
    <row r="553" spans="1:19" x14ac:dyDescent="0.35">
      <c r="A553">
        <v>1033</v>
      </c>
      <c r="B553" s="1">
        <v>45227</v>
      </c>
      <c r="C553" t="s">
        <v>24</v>
      </c>
      <c r="D553" t="s">
        <v>15</v>
      </c>
      <c r="E553">
        <v>1115.42</v>
      </c>
      <c r="F553">
        <v>43</v>
      </c>
      <c r="G553" t="s">
        <v>29</v>
      </c>
      <c r="H553">
        <v>4781.42</v>
      </c>
      <c r="I553">
        <v>4864.34</v>
      </c>
      <c r="J553" t="s">
        <v>17</v>
      </c>
      <c r="K553">
        <v>0.25</v>
      </c>
      <c r="L553" t="s">
        <v>27</v>
      </c>
      <c r="M553" t="s">
        <v>19</v>
      </c>
      <c r="N553" t="s">
        <v>45</v>
      </c>
      <c r="O553">
        <f>Table2[[#This Row],[Unit_Cost]]*Table2[[#This Row],[Quantity_Sold]]</f>
        <v>205601.06</v>
      </c>
      <c r="P553">
        <f t="shared" si="8"/>
        <v>-204485.63999999998</v>
      </c>
      <c r="Q553" s="3">
        <f>Table2[[#This Row],[Gross_Profit]]/Table2[[#This Row],[Sales_Amount]]</f>
        <v>-183.32613723978409</v>
      </c>
      <c r="R553" t="str">
        <f>TEXT(Table2[[#This Row],[Sale_Date]],"mmmm")</f>
        <v>October</v>
      </c>
      <c r="S553" s="4">
        <f>YEAR(Table2[[#This Row],[Sale_Date]])</f>
        <v>2023</v>
      </c>
    </row>
    <row r="554" spans="1:19" x14ac:dyDescent="0.35">
      <c r="A554">
        <v>1061</v>
      </c>
      <c r="B554" s="1">
        <v>45024</v>
      </c>
      <c r="C554" t="s">
        <v>33</v>
      </c>
      <c r="D554" t="s">
        <v>34</v>
      </c>
      <c r="E554">
        <v>3988.03</v>
      </c>
      <c r="F554">
        <v>29</v>
      </c>
      <c r="G554" t="s">
        <v>29</v>
      </c>
      <c r="H554">
        <v>1221.74</v>
      </c>
      <c r="I554">
        <v>1611.92</v>
      </c>
      <c r="J554" t="s">
        <v>30</v>
      </c>
      <c r="K554">
        <v>0.15</v>
      </c>
      <c r="L554" t="s">
        <v>18</v>
      </c>
      <c r="M554" t="s">
        <v>22</v>
      </c>
      <c r="N554" t="s">
        <v>36</v>
      </c>
      <c r="O554">
        <f>Table2[[#This Row],[Unit_Cost]]*Table2[[#This Row],[Quantity_Sold]]</f>
        <v>35430.46</v>
      </c>
      <c r="P554">
        <f t="shared" si="8"/>
        <v>-31442.43</v>
      </c>
      <c r="Q554" s="3">
        <f>Table2[[#This Row],[Gross_Profit]]/Table2[[#This Row],[Sales_Amount]]</f>
        <v>-7.8842009714069352</v>
      </c>
      <c r="R554" t="str">
        <f>TEXT(Table2[[#This Row],[Sale_Date]],"mmmm")</f>
        <v>April</v>
      </c>
      <c r="S554" s="4">
        <f>YEAR(Table2[[#This Row],[Sale_Date]])</f>
        <v>2023</v>
      </c>
    </row>
    <row r="555" spans="1:19" x14ac:dyDescent="0.35">
      <c r="A555">
        <v>1051</v>
      </c>
      <c r="B555" s="1">
        <v>45057</v>
      </c>
      <c r="C555" t="s">
        <v>14</v>
      </c>
      <c r="D555" t="s">
        <v>15</v>
      </c>
      <c r="E555">
        <v>5578.37</v>
      </c>
      <c r="F555">
        <v>36</v>
      </c>
      <c r="G555" t="s">
        <v>26</v>
      </c>
      <c r="H555">
        <v>4418.95</v>
      </c>
      <c r="I555">
        <v>4647.87</v>
      </c>
      <c r="J555" t="s">
        <v>30</v>
      </c>
      <c r="K555">
        <v>0.04</v>
      </c>
      <c r="L555" t="s">
        <v>27</v>
      </c>
      <c r="M555" t="s">
        <v>19</v>
      </c>
      <c r="N555" t="s">
        <v>20</v>
      </c>
      <c r="O555">
        <f>Table2[[#This Row],[Unit_Cost]]*Table2[[#This Row],[Quantity_Sold]]</f>
        <v>159082.19999999998</v>
      </c>
      <c r="P555">
        <f t="shared" si="8"/>
        <v>-153503.82999999999</v>
      </c>
      <c r="Q555" s="3">
        <f>Table2[[#This Row],[Gross_Profit]]/Table2[[#This Row],[Sales_Amount]]</f>
        <v>-27.517685273655207</v>
      </c>
      <c r="R555" t="str">
        <f>TEXT(Table2[[#This Row],[Sale_Date]],"mmmm")</f>
        <v>May</v>
      </c>
      <c r="S555" s="4">
        <f>YEAR(Table2[[#This Row],[Sale_Date]])</f>
        <v>2023</v>
      </c>
    </row>
    <row r="556" spans="1:19" x14ac:dyDescent="0.35">
      <c r="A556">
        <v>1043</v>
      </c>
      <c r="B556" s="1">
        <v>45219</v>
      </c>
      <c r="C556" t="s">
        <v>33</v>
      </c>
      <c r="D556" t="s">
        <v>25</v>
      </c>
      <c r="E556">
        <v>5081.01</v>
      </c>
      <c r="F556">
        <v>22</v>
      </c>
      <c r="G556" t="s">
        <v>26</v>
      </c>
      <c r="H556">
        <v>530.04</v>
      </c>
      <c r="I556">
        <v>759.31999999999903</v>
      </c>
      <c r="J556" t="s">
        <v>17</v>
      </c>
      <c r="K556">
        <v>0.17</v>
      </c>
      <c r="L556" t="s">
        <v>27</v>
      </c>
      <c r="M556" t="s">
        <v>22</v>
      </c>
      <c r="N556" t="s">
        <v>44</v>
      </c>
      <c r="O556">
        <f>Table2[[#This Row],[Unit_Cost]]*Table2[[#This Row],[Quantity_Sold]]</f>
        <v>11660.88</v>
      </c>
      <c r="P556">
        <f t="shared" si="8"/>
        <v>-6579.869999999999</v>
      </c>
      <c r="Q556" s="3">
        <f>Table2[[#This Row],[Gross_Profit]]/Table2[[#This Row],[Sales_Amount]]</f>
        <v>-1.2949925310125348</v>
      </c>
      <c r="R556" t="str">
        <f>TEXT(Table2[[#This Row],[Sale_Date]],"mmmm")</f>
        <v>October</v>
      </c>
      <c r="S556" s="4">
        <f>YEAR(Table2[[#This Row],[Sale_Date]])</f>
        <v>2023</v>
      </c>
    </row>
    <row r="557" spans="1:19" x14ac:dyDescent="0.35">
      <c r="A557">
        <v>1012</v>
      </c>
      <c r="B557" s="1">
        <v>45097</v>
      </c>
      <c r="C557" t="s">
        <v>42</v>
      </c>
      <c r="D557" t="s">
        <v>25</v>
      </c>
      <c r="E557">
        <v>2019.24</v>
      </c>
      <c r="F557">
        <v>47</v>
      </c>
      <c r="G557" t="s">
        <v>29</v>
      </c>
      <c r="H557">
        <v>325.75</v>
      </c>
      <c r="I557">
        <v>803.71</v>
      </c>
      <c r="J557" t="s">
        <v>30</v>
      </c>
      <c r="K557">
        <v>0.12</v>
      </c>
      <c r="L557" t="s">
        <v>27</v>
      </c>
      <c r="M557" t="s">
        <v>22</v>
      </c>
      <c r="N557" t="s">
        <v>43</v>
      </c>
      <c r="O557">
        <f>Table2[[#This Row],[Unit_Cost]]*Table2[[#This Row],[Quantity_Sold]]</f>
        <v>15310.25</v>
      </c>
      <c r="P557">
        <f t="shared" si="8"/>
        <v>-13291.01</v>
      </c>
      <c r="Q557" s="3">
        <f>Table2[[#This Row],[Gross_Profit]]/Table2[[#This Row],[Sales_Amount]]</f>
        <v>-6.5821843862047107</v>
      </c>
      <c r="R557" t="str">
        <f>TEXT(Table2[[#This Row],[Sale_Date]],"mmmm")</f>
        <v>June</v>
      </c>
      <c r="S557" s="4">
        <f>YEAR(Table2[[#This Row],[Sale_Date]])</f>
        <v>2023</v>
      </c>
    </row>
    <row r="558" spans="1:19" x14ac:dyDescent="0.35">
      <c r="A558">
        <v>1067</v>
      </c>
      <c r="B558" s="1">
        <v>45109</v>
      </c>
      <c r="C558" t="s">
        <v>42</v>
      </c>
      <c r="D558" t="s">
        <v>15</v>
      </c>
      <c r="E558">
        <v>8602.2900000000009</v>
      </c>
      <c r="F558">
        <v>36</v>
      </c>
      <c r="G558" t="s">
        <v>35</v>
      </c>
      <c r="H558">
        <v>689.66</v>
      </c>
      <c r="I558">
        <v>1150.28</v>
      </c>
      <c r="J558" t="s">
        <v>30</v>
      </c>
      <c r="K558">
        <v>0.2</v>
      </c>
      <c r="L558" t="s">
        <v>27</v>
      </c>
      <c r="M558" t="s">
        <v>19</v>
      </c>
      <c r="N558" t="s">
        <v>49</v>
      </c>
      <c r="O558">
        <f>Table2[[#This Row],[Unit_Cost]]*Table2[[#This Row],[Quantity_Sold]]</f>
        <v>24827.759999999998</v>
      </c>
      <c r="P558">
        <f t="shared" si="8"/>
        <v>-16225.469999999998</v>
      </c>
      <c r="Q558" s="3">
        <f>Table2[[#This Row],[Gross_Profit]]/Table2[[#This Row],[Sales_Amount]]</f>
        <v>-1.8861803078017594</v>
      </c>
      <c r="R558" t="str">
        <f>TEXT(Table2[[#This Row],[Sale_Date]],"mmmm")</f>
        <v>July</v>
      </c>
      <c r="S558" s="4">
        <f>YEAR(Table2[[#This Row],[Sale_Date]])</f>
        <v>2023</v>
      </c>
    </row>
    <row r="559" spans="1:19" x14ac:dyDescent="0.35">
      <c r="A559">
        <v>1065</v>
      </c>
      <c r="B559" s="1">
        <v>45290</v>
      </c>
      <c r="C559" t="s">
        <v>24</v>
      </c>
      <c r="D559" t="s">
        <v>25</v>
      </c>
      <c r="E559">
        <v>6801.71</v>
      </c>
      <c r="F559">
        <v>9</v>
      </c>
      <c r="G559" t="s">
        <v>29</v>
      </c>
      <c r="H559">
        <v>335.82</v>
      </c>
      <c r="I559">
        <v>498.31</v>
      </c>
      <c r="J559" t="s">
        <v>30</v>
      </c>
      <c r="K559">
        <v>0.26</v>
      </c>
      <c r="L559" t="s">
        <v>18</v>
      </c>
      <c r="M559" t="s">
        <v>22</v>
      </c>
      <c r="N559" t="s">
        <v>28</v>
      </c>
      <c r="O559">
        <f>Table2[[#This Row],[Unit_Cost]]*Table2[[#This Row],[Quantity_Sold]]</f>
        <v>3022.38</v>
      </c>
      <c r="P559">
        <f t="shared" si="8"/>
        <v>3779.33</v>
      </c>
      <c r="Q559" s="3">
        <f>Table2[[#This Row],[Gross_Profit]]/Table2[[#This Row],[Sales_Amount]]</f>
        <v>0.55564409538189663</v>
      </c>
      <c r="R559" t="str">
        <f>TEXT(Table2[[#This Row],[Sale_Date]],"mmmm")</f>
        <v>December</v>
      </c>
      <c r="S559" s="4">
        <f>YEAR(Table2[[#This Row],[Sale_Date]])</f>
        <v>2023</v>
      </c>
    </row>
    <row r="560" spans="1:19" x14ac:dyDescent="0.35">
      <c r="A560">
        <v>1033</v>
      </c>
      <c r="B560" s="1">
        <v>44965</v>
      </c>
      <c r="C560" t="s">
        <v>38</v>
      </c>
      <c r="D560" t="s">
        <v>15</v>
      </c>
      <c r="E560">
        <v>8395.2900000000009</v>
      </c>
      <c r="F560">
        <v>39</v>
      </c>
      <c r="G560" t="s">
        <v>35</v>
      </c>
      <c r="H560">
        <v>4232.8100000000004</v>
      </c>
      <c r="I560">
        <v>4345.25</v>
      </c>
      <c r="J560" t="s">
        <v>17</v>
      </c>
      <c r="K560">
        <v>0.12</v>
      </c>
      <c r="L560" t="s">
        <v>27</v>
      </c>
      <c r="M560" t="s">
        <v>19</v>
      </c>
      <c r="N560" t="s">
        <v>40</v>
      </c>
      <c r="O560">
        <f>Table2[[#This Row],[Unit_Cost]]*Table2[[#This Row],[Quantity_Sold]]</f>
        <v>165079.59000000003</v>
      </c>
      <c r="P560">
        <f t="shared" si="8"/>
        <v>-156684.30000000002</v>
      </c>
      <c r="Q560" s="3">
        <f>Table2[[#This Row],[Gross_Profit]]/Table2[[#This Row],[Sales_Amount]]</f>
        <v>-18.663357668406928</v>
      </c>
      <c r="R560" t="str">
        <f>TEXT(Table2[[#This Row],[Sale_Date]],"mmmm")</f>
        <v>February</v>
      </c>
      <c r="S560" s="4">
        <f>YEAR(Table2[[#This Row],[Sale_Date]])</f>
        <v>2023</v>
      </c>
    </row>
    <row r="561" spans="1:19" x14ac:dyDescent="0.35">
      <c r="A561">
        <v>1040</v>
      </c>
      <c r="B561" s="1">
        <v>44941</v>
      </c>
      <c r="C561" t="s">
        <v>33</v>
      </c>
      <c r="D561" t="s">
        <v>15</v>
      </c>
      <c r="E561">
        <v>8601.77</v>
      </c>
      <c r="F561">
        <v>19</v>
      </c>
      <c r="G561" t="s">
        <v>16</v>
      </c>
      <c r="H561">
        <v>342.3</v>
      </c>
      <c r="I561">
        <v>768.06</v>
      </c>
      <c r="J561" t="s">
        <v>17</v>
      </c>
      <c r="K561">
        <v>0.09</v>
      </c>
      <c r="L561" t="s">
        <v>31</v>
      </c>
      <c r="M561" t="s">
        <v>19</v>
      </c>
      <c r="N561" t="s">
        <v>53</v>
      </c>
      <c r="O561">
        <f>Table2[[#This Row],[Unit_Cost]]*Table2[[#This Row],[Quantity_Sold]]</f>
        <v>6503.7</v>
      </c>
      <c r="P561">
        <f t="shared" si="8"/>
        <v>2098.0700000000006</v>
      </c>
      <c r="Q561" s="3">
        <f>Table2[[#This Row],[Gross_Profit]]/Table2[[#This Row],[Sales_Amount]]</f>
        <v>0.2439114275317755</v>
      </c>
      <c r="R561" t="str">
        <f>TEXT(Table2[[#This Row],[Sale_Date]],"mmmm")</f>
        <v>January</v>
      </c>
      <c r="S561" s="4">
        <f>YEAR(Table2[[#This Row],[Sale_Date]])</f>
        <v>2023</v>
      </c>
    </row>
    <row r="562" spans="1:19" x14ac:dyDescent="0.35">
      <c r="A562">
        <v>1074</v>
      </c>
      <c r="B562" s="1">
        <v>44930</v>
      </c>
      <c r="C562" t="s">
        <v>38</v>
      </c>
      <c r="D562" t="s">
        <v>25</v>
      </c>
      <c r="E562">
        <v>7508.72</v>
      </c>
      <c r="F562">
        <v>38</v>
      </c>
      <c r="G562" t="s">
        <v>16</v>
      </c>
      <c r="H562">
        <v>1394.74</v>
      </c>
      <c r="I562">
        <v>1848.69</v>
      </c>
      <c r="J562" t="s">
        <v>17</v>
      </c>
      <c r="K562">
        <v>0</v>
      </c>
      <c r="L562" t="s">
        <v>27</v>
      </c>
      <c r="M562" t="s">
        <v>22</v>
      </c>
      <c r="N562" t="s">
        <v>39</v>
      </c>
      <c r="O562">
        <f>Table2[[#This Row],[Unit_Cost]]*Table2[[#This Row],[Quantity_Sold]]</f>
        <v>53000.12</v>
      </c>
      <c r="P562">
        <f t="shared" si="8"/>
        <v>-45491.4</v>
      </c>
      <c r="Q562" s="3">
        <f>Table2[[#This Row],[Gross_Profit]]/Table2[[#This Row],[Sales_Amount]]</f>
        <v>-6.0584760118901757</v>
      </c>
      <c r="R562" t="str">
        <f>TEXT(Table2[[#This Row],[Sale_Date]],"mmmm")</f>
        <v>January</v>
      </c>
      <c r="S562" s="4">
        <f>YEAR(Table2[[#This Row],[Sale_Date]])</f>
        <v>2023</v>
      </c>
    </row>
    <row r="563" spans="1:19" x14ac:dyDescent="0.35">
      <c r="A563">
        <v>1043</v>
      </c>
      <c r="B563" s="1">
        <v>45275</v>
      </c>
      <c r="C563" t="s">
        <v>24</v>
      </c>
      <c r="D563" t="s">
        <v>21</v>
      </c>
      <c r="E563">
        <v>4448.18</v>
      </c>
      <c r="F563">
        <v>6</v>
      </c>
      <c r="G563" t="s">
        <v>29</v>
      </c>
      <c r="H563">
        <v>563.59</v>
      </c>
      <c r="I563">
        <v>838.97</v>
      </c>
      <c r="J563" t="s">
        <v>30</v>
      </c>
      <c r="K563">
        <v>0.17</v>
      </c>
      <c r="L563" t="s">
        <v>31</v>
      </c>
      <c r="M563" t="s">
        <v>19</v>
      </c>
      <c r="N563" t="s">
        <v>47</v>
      </c>
      <c r="O563">
        <f>Table2[[#This Row],[Unit_Cost]]*Table2[[#This Row],[Quantity_Sold]]</f>
        <v>3381.54</v>
      </c>
      <c r="P563">
        <f t="shared" si="8"/>
        <v>1066.6400000000003</v>
      </c>
      <c r="Q563" s="3">
        <f>Table2[[#This Row],[Gross_Profit]]/Table2[[#This Row],[Sales_Amount]]</f>
        <v>0.23979245444204153</v>
      </c>
      <c r="R563" t="str">
        <f>TEXT(Table2[[#This Row],[Sale_Date]],"mmmm")</f>
        <v>December</v>
      </c>
      <c r="S563" s="4">
        <f>YEAR(Table2[[#This Row],[Sale_Date]])</f>
        <v>2023</v>
      </c>
    </row>
    <row r="564" spans="1:19" x14ac:dyDescent="0.35">
      <c r="A564">
        <v>1044</v>
      </c>
      <c r="B564" s="1">
        <v>45136</v>
      </c>
      <c r="C564" t="s">
        <v>42</v>
      </c>
      <c r="D564" t="s">
        <v>15</v>
      </c>
      <c r="E564">
        <v>6144.41</v>
      </c>
      <c r="F564">
        <v>47</v>
      </c>
      <c r="G564" t="s">
        <v>35</v>
      </c>
      <c r="H564">
        <v>1512.34</v>
      </c>
      <c r="I564">
        <v>1830.76</v>
      </c>
      <c r="J564" t="s">
        <v>30</v>
      </c>
      <c r="K564">
        <v>0.12</v>
      </c>
      <c r="L564" t="s">
        <v>27</v>
      </c>
      <c r="M564" t="s">
        <v>19</v>
      </c>
      <c r="N564" t="s">
        <v>49</v>
      </c>
      <c r="O564">
        <f>Table2[[#This Row],[Unit_Cost]]*Table2[[#This Row],[Quantity_Sold]]</f>
        <v>71079.98</v>
      </c>
      <c r="P564">
        <f t="shared" si="8"/>
        <v>-64935.569999999992</v>
      </c>
      <c r="Q564" s="3">
        <f>Table2[[#This Row],[Gross_Profit]]/Table2[[#This Row],[Sales_Amount]]</f>
        <v>-10.568235192638511</v>
      </c>
      <c r="R564" t="str">
        <f>TEXT(Table2[[#This Row],[Sale_Date]],"mmmm")</f>
        <v>July</v>
      </c>
      <c r="S564" s="4">
        <f>YEAR(Table2[[#This Row],[Sale_Date]])</f>
        <v>2023</v>
      </c>
    </row>
    <row r="565" spans="1:19" x14ac:dyDescent="0.35">
      <c r="A565">
        <v>1029</v>
      </c>
      <c r="B565" s="1">
        <v>45087</v>
      </c>
      <c r="C565" t="s">
        <v>38</v>
      </c>
      <c r="D565" t="s">
        <v>34</v>
      </c>
      <c r="E565">
        <v>1687.62</v>
      </c>
      <c r="F565">
        <v>15</v>
      </c>
      <c r="G565" t="s">
        <v>29</v>
      </c>
      <c r="H565">
        <v>498.27</v>
      </c>
      <c r="I565">
        <v>634.16</v>
      </c>
      <c r="J565" t="s">
        <v>17</v>
      </c>
      <c r="K565">
        <v>0.11</v>
      </c>
      <c r="L565" t="s">
        <v>31</v>
      </c>
      <c r="M565" t="s">
        <v>22</v>
      </c>
      <c r="N565" t="s">
        <v>48</v>
      </c>
      <c r="O565">
        <f>Table2[[#This Row],[Unit_Cost]]*Table2[[#This Row],[Quantity_Sold]]</f>
        <v>7474.0499999999993</v>
      </c>
      <c r="P565">
        <f t="shared" si="8"/>
        <v>-5786.4299999999994</v>
      </c>
      <c r="Q565" s="3">
        <f>Table2[[#This Row],[Gross_Profit]]/Table2[[#This Row],[Sales_Amount]]</f>
        <v>-3.4287517332100825</v>
      </c>
      <c r="R565" t="str">
        <f>TEXT(Table2[[#This Row],[Sale_Date]],"mmmm")</f>
        <v>June</v>
      </c>
      <c r="S565" s="4">
        <f>YEAR(Table2[[#This Row],[Sale_Date]])</f>
        <v>2023</v>
      </c>
    </row>
    <row r="566" spans="1:19" x14ac:dyDescent="0.35">
      <c r="A566">
        <v>1013</v>
      </c>
      <c r="B566" s="1">
        <v>44942</v>
      </c>
      <c r="C566" t="s">
        <v>38</v>
      </c>
      <c r="D566" t="s">
        <v>34</v>
      </c>
      <c r="E566">
        <v>6769.09</v>
      </c>
      <c r="F566">
        <v>20</v>
      </c>
      <c r="G566" t="s">
        <v>29</v>
      </c>
      <c r="H566">
        <v>3356.62</v>
      </c>
      <c r="I566">
        <v>3759.0099999999902</v>
      </c>
      <c r="J566" t="s">
        <v>17</v>
      </c>
      <c r="K566">
        <v>0.05</v>
      </c>
      <c r="L566" t="s">
        <v>31</v>
      </c>
      <c r="M566" t="s">
        <v>22</v>
      </c>
      <c r="N566" t="s">
        <v>48</v>
      </c>
      <c r="O566">
        <f>Table2[[#This Row],[Unit_Cost]]*Table2[[#This Row],[Quantity_Sold]]</f>
        <v>67132.399999999994</v>
      </c>
      <c r="P566">
        <f t="shared" si="8"/>
        <v>-60363.31</v>
      </c>
      <c r="Q566" s="3">
        <f>Table2[[#This Row],[Gross_Profit]]/Table2[[#This Row],[Sales_Amount]]</f>
        <v>-8.9174926024029819</v>
      </c>
      <c r="R566" t="str">
        <f>TEXT(Table2[[#This Row],[Sale_Date]],"mmmm")</f>
        <v>January</v>
      </c>
      <c r="S566" s="4">
        <f>YEAR(Table2[[#This Row],[Sale_Date]])</f>
        <v>2023</v>
      </c>
    </row>
    <row r="567" spans="1:19" x14ac:dyDescent="0.35">
      <c r="A567">
        <v>1012</v>
      </c>
      <c r="B567" s="1">
        <v>45034</v>
      </c>
      <c r="C567" t="s">
        <v>42</v>
      </c>
      <c r="D567" t="s">
        <v>25</v>
      </c>
      <c r="E567">
        <v>1874.61</v>
      </c>
      <c r="F567">
        <v>9</v>
      </c>
      <c r="G567" t="s">
        <v>35</v>
      </c>
      <c r="H567">
        <v>709.97</v>
      </c>
      <c r="I567">
        <v>1029.71</v>
      </c>
      <c r="J567" t="s">
        <v>17</v>
      </c>
      <c r="K567">
        <v>0.13</v>
      </c>
      <c r="L567" t="s">
        <v>27</v>
      </c>
      <c r="M567" t="s">
        <v>22</v>
      </c>
      <c r="N567" t="s">
        <v>43</v>
      </c>
      <c r="O567">
        <f>Table2[[#This Row],[Unit_Cost]]*Table2[[#This Row],[Quantity_Sold]]</f>
        <v>6389.7300000000005</v>
      </c>
      <c r="P567">
        <f t="shared" si="8"/>
        <v>-4515.1200000000008</v>
      </c>
      <c r="Q567" s="3">
        <f>Table2[[#This Row],[Gross_Profit]]/Table2[[#This Row],[Sales_Amount]]</f>
        <v>-2.4085649815161561</v>
      </c>
      <c r="R567" t="str">
        <f>TEXT(Table2[[#This Row],[Sale_Date]],"mmmm")</f>
        <v>April</v>
      </c>
      <c r="S567" s="4">
        <f>YEAR(Table2[[#This Row],[Sale_Date]])</f>
        <v>2023</v>
      </c>
    </row>
    <row r="568" spans="1:19" x14ac:dyDescent="0.35">
      <c r="A568">
        <v>1095</v>
      </c>
      <c r="B568" s="1">
        <v>45237</v>
      </c>
      <c r="C568" t="s">
        <v>33</v>
      </c>
      <c r="D568" t="s">
        <v>21</v>
      </c>
      <c r="E568">
        <v>6970.1</v>
      </c>
      <c r="F568">
        <v>32</v>
      </c>
      <c r="G568" t="s">
        <v>29</v>
      </c>
      <c r="H568">
        <v>4266.6400000000003</v>
      </c>
      <c r="I568">
        <v>4523.3599999999997</v>
      </c>
      <c r="J568" t="s">
        <v>30</v>
      </c>
      <c r="K568">
        <v>0.3</v>
      </c>
      <c r="L568" t="s">
        <v>27</v>
      </c>
      <c r="M568" t="s">
        <v>22</v>
      </c>
      <c r="N568" t="s">
        <v>37</v>
      </c>
      <c r="O568">
        <f>Table2[[#This Row],[Unit_Cost]]*Table2[[#This Row],[Quantity_Sold]]</f>
        <v>136532.48000000001</v>
      </c>
      <c r="P568">
        <f t="shared" si="8"/>
        <v>-129562.38</v>
      </c>
      <c r="Q568" s="3">
        <f>Table2[[#This Row],[Gross_Profit]]/Table2[[#This Row],[Sales_Amount]]</f>
        <v>-18.588310067287413</v>
      </c>
      <c r="R568" t="str">
        <f>TEXT(Table2[[#This Row],[Sale_Date]],"mmmm")</f>
        <v>November</v>
      </c>
      <c r="S568" s="4">
        <f>YEAR(Table2[[#This Row],[Sale_Date]])</f>
        <v>2023</v>
      </c>
    </row>
    <row r="569" spans="1:19" x14ac:dyDescent="0.35">
      <c r="A569">
        <v>1046</v>
      </c>
      <c r="B569" s="1">
        <v>45153</v>
      </c>
      <c r="C569" t="s">
        <v>42</v>
      </c>
      <c r="D569" t="s">
        <v>25</v>
      </c>
      <c r="E569">
        <v>2373.02</v>
      </c>
      <c r="F569">
        <v>4</v>
      </c>
      <c r="G569" t="s">
        <v>16</v>
      </c>
      <c r="H569">
        <v>4095.1</v>
      </c>
      <c r="I569">
        <v>4134.55</v>
      </c>
      <c r="J569" t="s">
        <v>17</v>
      </c>
      <c r="K569">
        <v>0.09</v>
      </c>
      <c r="L569" t="s">
        <v>27</v>
      </c>
      <c r="M569" t="s">
        <v>22</v>
      </c>
      <c r="N569" t="s">
        <v>43</v>
      </c>
      <c r="O569">
        <f>Table2[[#This Row],[Unit_Cost]]*Table2[[#This Row],[Quantity_Sold]]</f>
        <v>16380.4</v>
      </c>
      <c r="P569">
        <f t="shared" si="8"/>
        <v>-14007.38</v>
      </c>
      <c r="Q569" s="3">
        <f>Table2[[#This Row],[Gross_Profit]]/Table2[[#This Row],[Sales_Amount]]</f>
        <v>-5.9027652527159482</v>
      </c>
      <c r="R569" t="str">
        <f>TEXT(Table2[[#This Row],[Sale_Date]],"mmmm")</f>
        <v>August</v>
      </c>
      <c r="S569" s="4">
        <f>YEAR(Table2[[#This Row],[Sale_Date]])</f>
        <v>2023</v>
      </c>
    </row>
    <row r="570" spans="1:19" x14ac:dyDescent="0.35">
      <c r="A570">
        <v>1002</v>
      </c>
      <c r="B570" s="1">
        <v>45096</v>
      </c>
      <c r="C570" t="s">
        <v>38</v>
      </c>
      <c r="D570" t="s">
        <v>21</v>
      </c>
      <c r="E570">
        <v>1263.76</v>
      </c>
      <c r="F570">
        <v>18</v>
      </c>
      <c r="G570" t="s">
        <v>26</v>
      </c>
      <c r="H570">
        <v>117.63</v>
      </c>
      <c r="I570">
        <v>576.44000000000005</v>
      </c>
      <c r="J570" t="s">
        <v>30</v>
      </c>
      <c r="K570">
        <v>0.18</v>
      </c>
      <c r="L570" t="s">
        <v>31</v>
      </c>
      <c r="M570" t="s">
        <v>22</v>
      </c>
      <c r="N570" t="s">
        <v>41</v>
      </c>
      <c r="O570">
        <f>Table2[[#This Row],[Unit_Cost]]*Table2[[#This Row],[Quantity_Sold]]</f>
        <v>2117.34</v>
      </c>
      <c r="P570">
        <f t="shared" si="8"/>
        <v>-853.58000000000015</v>
      </c>
      <c r="Q570" s="3">
        <f>Table2[[#This Row],[Gross_Profit]]/Table2[[#This Row],[Sales_Amount]]</f>
        <v>-0.67542887890105729</v>
      </c>
      <c r="R570" t="str">
        <f>TEXT(Table2[[#This Row],[Sale_Date]],"mmmm")</f>
        <v>June</v>
      </c>
      <c r="S570" s="4">
        <f>YEAR(Table2[[#This Row],[Sale_Date]])</f>
        <v>2023</v>
      </c>
    </row>
    <row r="571" spans="1:19" x14ac:dyDescent="0.35">
      <c r="A571">
        <v>1035</v>
      </c>
      <c r="B571" s="1">
        <v>44960</v>
      </c>
      <c r="C571" t="s">
        <v>33</v>
      </c>
      <c r="D571" t="s">
        <v>15</v>
      </c>
      <c r="E571">
        <v>1736.32</v>
      </c>
      <c r="F571">
        <v>5</v>
      </c>
      <c r="G571" t="s">
        <v>26</v>
      </c>
      <c r="H571">
        <v>4483.8500000000004</v>
      </c>
      <c r="I571">
        <v>4795.42</v>
      </c>
      <c r="J571" t="s">
        <v>17</v>
      </c>
      <c r="K571">
        <v>0.23</v>
      </c>
      <c r="L571" t="s">
        <v>18</v>
      </c>
      <c r="M571" t="s">
        <v>19</v>
      </c>
      <c r="N571" t="s">
        <v>53</v>
      </c>
      <c r="O571">
        <f>Table2[[#This Row],[Unit_Cost]]*Table2[[#This Row],[Quantity_Sold]]</f>
        <v>22419.25</v>
      </c>
      <c r="P571">
        <f t="shared" si="8"/>
        <v>-20682.93</v>
      </c>
      <c r="Q571" s="3">
        <f>Table2[[#This Row],[Gross_Profit]]/Table2[[#This Row],[Sales_Amount]]</f>
        <v>-11.911934436048655</v>
      </c>
      <c r="R571" t="str">
        <f>TEXT(Table2[[#This Row],[Sale_Date]],"mmmm")</f>
        <v>February</v>
      </c>
      <c r="S571" s="4">
        <f>YEAR(Table2[[#This Row],[Sale_Date]])</f>
        <v>2023</v>
      </c>
    </row>
    <row r="572" spans="1:19" x14ac:dyDescent="0.35">
      <c r="A572">
        <v>1087</v>
      </c>
      <c r="B572" s="1">
        <v>45177</v>
      </c>
      <c r="C572" t="s">
        <v>33</v>
      </c>
      <c r="D572" t="s">
        <v>15</v>
      </c>
      <c r="E572">
        <v>119.72</v>
      </c>
      <c r="F572">
        <v>20</v>
      </c>
      <c r="G572" t="s">
        <v>29</v>
      </c>
      <c r="H572">
        <v>193.27</v>
      </c>
      <c r="I572">
        <v>297.69</v>
      </c>
      <c r="J572" t="s">
        <v>30</v>
      </c>
      <c r="K572">
        <v>0.22</v>
      </c>
      <c r="L572" t="s">
        <v>18</v>
      </c>
      <c r="M572" t="s">
        <v>19</v>
      </c>
      <c r="N572" t="s">
        <v>53</v>
      </c>
      <c r="O572">
        <f>Table2[[#This Row],[Unit_Cost]]*Table2[[#This Row],[Quantity_Sold]]</f>
        <v>3865.4</v>
      </c>
      <c r="P572">
        <f t="shared" si="8"/>
        <v>-3745.6800000000003</v>
      </c>
      <c r="Q572" s="3">
        <f>Table2[[#This Row],[Gross_Profit]]/Table2[[#This Row],[Sales_Amount]]</f>
        <v>-31.287003007016374</v>
      </c>
      <c r="R572" t="str">
        <f>TEXT(Table2[[#This Row],[Sale_Date]],"mmmm")</f>
        <v>September</v>
      </c>
      <c r="S572" s="4">
        <f>YEAR(Table2[[#This Row],[Sale_Date]])</f>
        <v>2023</v>
      </c>
    </row>
    <row r="573" spans="1:19" x14ac:dyDescent="0.35">
      <c r="A573">
        <v>1081</v>
      </c>
      <c r="B573" s="1">
        <v>45173</v>
      </c>
      <c r="C573" t="s">
        <v>42</v>
      </c>
      <c r="D573" t="s">
        <v>15</v>
      </c>
      <c r="E573">
        <v>7215.52</v>
      </c>
      <c r="F573">
        <v>23</v>
      </c>
      <c r="G573" t="s">
        <v>35</v>
      </c>
      <c r="H573">
        <v>1236.25</v>
      </c>
      <c r="I573">
        <v>1543.38</v>
      </c>
      <c r="J573" t="s">
        <v>30</v>
      </c>
      <c r="K573">
        <v>0.1</v>
      </c>
      <c r="L573" t="s">
        <v>27</v>
      </c>
      <c r="M573" t="s">
        <v>19</v>
      </c>
      <c r="N573" t="s">
        <v>49</v>
      </c>
      <c r="O573">
        <f>Table2[[#This Row],[Unit_Cost]]*Table2[[#This Row],[Quantity_Sold]]</f>
        <v>28433.75</v>
      </c>
      <c r="P573">
        <f t="shared" si="8"/>
        <v>-21218.23</v>
      </c>
      <c r="Q573" s="3">
        <f>Table2[[#This Row],[Gross_Profit]]/Table2[[#This Row],[Sales_Amount]]</f>
        <v>-2.9406376809987358</v>
      </c>
      <c r="R573" t="str">
        <f>TEXT(Table2[[#This Row],[Sale_Date]],"mmmm")</f>
        <v>September</v>
      </c>
      <c r="S573" s="4">
        <f>YEAR(Table2[[#This Row],[Sale_Date]])</f>
        <v>2023</v>
      </c>
    </row>
    <row r="574" spans="1:19" x14ac:dyDescent="0.35">
      <c r="A574">
        <v>1090</v>
      </c>
      <c r="B574" s="1">
        <v>45195</v>
      </c>
      <c r="C574" t="s">
        <v>38</v>
      </c>
      <c r="D574" t="s">
        <v>15</v>
      </c>
      <c r="E574">
        <v>7350.77</v>
      </c>
      <c r="F574">
        <v>11</v>
      </c>
      <c r="G574" t="s">
        <v>35</v>
      </c>
      <c r="H574">
        <v>210.33</v>
      </c>
      <c r="I574">
        <v>552.29</v>
      </c>
      <c r="J574" t="s">
        <v>17</v>
      </c>
      <c r="K574">
        <v>0.18</v>
      </c>
      <c r="L574" t="s">
        <v>18</v>
      </c>
      <c r="M574" t="s">
        <v>22</v>
      </c>
      <c r="N574" t="s">
        <v>40</v>
      </c>
      <c r="O574">
        <f>Table2[[#This Row],[Unit_Cost]]*Table2[[#This Row],[Quantity_Sold]]</f>
        <v>2313.63</v>
      </c>
      <c r="P574">
        <f t="shared" si="8"/>
        <v>5037.1400000000003</v>
      </c>
      <c r="Q574" s="3">
        <f>Table2[[#This Row],[Gross_Profit]]/Table2[[#This Row],[Sales_Amount]]</f>
        <v>0.68525338161852434</v>
      </c>
      <c r="R574" t="str">
        <f>TEXT(Table2[[#This Row],[Sale_Date]],"mmmm")</f>
        <v>September</v>
      </c>
      <c r="S574" s="4">
        <f>YEAR(Table2[[#This Row],[Sale_Date]])</f>
        <v>2023</v>
      </c>
    </row>
    <row r="575" spans="1:19" x14ac:dyDescent="0.35">
      <c r="A575">
        <v>1008</v>
      </c>
      <c r="B575" s="1">
        <v>45067</v>
      </c>
      <c r="C575" t="s">
        <v>24</v>
      </c>
      <c r="D575" t="s">
        <v>34</v>
      </c>
      <c r="E575">
        <v>5197.84</v>
      </c>
      <c r="F575">
        <v>37</v>
      </c>
      <c r="G575" t="s">
        <v>16</v>
      </c>
      <c r="H575">
        <v>1712.43</v>
      </c>
      <c r="I575">
        <v>1980.06</v>
      </c>
      <c r="J575" t="s">
        <v>30</v>
      </c>
      <c r="K575">
        <v>0.26</v>
      </c>
      <c r="L575" t="s">
        <v>18</v>
      </c>
      <c r="M575" t="s">
        <v>19</v>
      </c>
      <c r="N575" t="s">
        <v>50</v>
      </c>
      <c r="O575">
        <f>Table2[[#This Row],[Unit_Cost]]*Table2[[#This Row],[Quantity_Sold]]</f>
        <v>63359.91</v>
      </c>
      <c r="P575">
        <f t="shared" si="8"/>
        <v>-58162.070000000007</v>
      </c>
      <c r="Q575" s="3">
        <f>Table2[[#This Row],[Gross_Profit]]/Table2[[#This Row],[Sales_Amount]]</f>
        <v>-11.189661474766442</v>
      </c>
      <c r="R575" t="str">
        <f>TEXT(Table2[[#This Row],[Sale_Date]],"mmmm")</f>
        <v>May</v>
      </c>
      <c r="S575" s="4">
        <f>YEAR(Table2[[#This Row],[Sale_Date]])</f>
        <v>2023</v>
      </c>
    </row>
    <row r="576" spans="1:19" x14ac:dyDescent="0.35">
      <c r="A576">
        <v>1093</v>
      </c>
      <c r="B576" s="1">
        <v>45200</v>
      </c>
      <c r="C576" t="s">
        <v>38</v>
      </c>
      <c r="D576" t="s">
        <v>34</v>
      </c>
      <c r="E576">
        <v>1697.49</v>
      </c>
      <c r="F576">
        <v>22</v>
      </c>
      <c r="G576" t="s">
        <v>35</v>
      </c>
      <c r="H576">
        <v>2593.64</v>
      </c>
      <c r="I576">
        <v>2955.5099999999902</v>
      </c>
      <c r="J576" t="s">
        <v>17</v>
      </c>
      <c r="K576">
        <v>0</v>
      </c>
      <c r="L576" t="s">
        <v>27</v>
      </c>
      <c r="M576" t="s">
        <v>22</v>
      </c>
      <c r="N576" t="s">
        <v>48</v>
      </c>
      <c r="O576">
        <f>Table2[[#This Row],[Unit_Cost]]*Table2[[#This Row],[Quantity_Sold]]</f>
        <v>57060.079999999994</v>
      </c>
      <c r="P576">
        <f t="shared" si="8"/>
        <v>-55362.59</v>
      </c>
      <c r="Q576" s="3">
        <f>Table2[[#This Row],[Gross_Profit]]/Table2[[#This Row],[Sales_Amount]]</f>
        <v>-32.614383589888597</v>
      </c>
      <c r="R576" t="str">
        <f>TEXT(Table2[[#This Row],[Sale_Date]],"mmmm")</f>
        <v>October</v>
      </c>
      <c r="S576" s="4">
        <f>YEAR(Table2[[#This Row],[Sale_Date]])</f>
        <v>2023</v>
      </c>
    </row>
    <row r="577" spans="1:19" x14ac:dyDescent="0.35">
      <c r="A577">
        <v>1026</v>
      </c>
      <c r="B577" s="1">
        <v>45022</v>
      </c>
      <c r="C577" t="s">
        <v>14</v>
      </c>
      <c r="D577" t="s">
        <v>25</v>
      </c>
      <c r="E577">
        <v>927.19</v>
      </c>
      <c r="F577">
        <v>4</v>
      </c>
      <c r="G577" t="s">
        <v>35</v>
      </c>
      <c r="H577">
        <v>3993.39</v>
      </c>
      <c r="I577">
        <v>4288.3</v>
      </c>
      <c r="J577" t="s">
        <v>30</v>
      </c>
      <c r="K577">
        <v>0.13</v>
      </c>
      <c r="L577" t="s">
        <v>31</v>
      </c>
      <c r="M577" t="s">
        <v>19</v>
      </c>
      <c r="N577" t="s">
        <v>32</v>
      </c>
      <c r="O577">
        <f>Table2[[#This Row],[Unit_Cost]]*Table2[[#This Row],[Quantity_Sold]]</f>
        <v>15973.56</v>
      </c>
      <c r="P577">
        <f t="shared" si="8"/>
        <v>-15046.369999999999</v>
      </c>
      <c r="Q577" s="3">
        <f>Table2[[#This Row],[Gross_Profit]]/Table2[[#This Row],[Sales_Amount]]</f>
        <v>-16.227925236467172</v>
      </c>
      <c r="R577" t="str">
        <f>TEXT(Table2[[#This Row],[Sale_Date]],"mmmm")</f>
        <v>April</v>
      </c>
      <c r="S577" s="4">
        <f>YEAR(Table2[[#This Row],[Sale_Date]])</f>
        <v>2023</v>
      </c>
    </row>
    <row r="578" spans="1:19" x14ac:dyDescent="0.35">
      <c r="A578">
        <v>1074</v>
      </c>
      <c r="B578" s="1">
        <v>45153</v>
      </c>
      <c r="C578" t="s">
        <v>24</v>
      </c>
      <c r="D578" t="s">
        <v>21</v>
      </c>
      <c r="E578">
        <v>289.38</v>
      </c>
      <c r="F578">
        <v>29</v>
      </c>
      <c r="G578" t="s">
        <v>16</v>
      </c>
      <c r="H578">
        <v>1723.01</v>
      </c>
      <c r="I578">
        <v>2197.42</v>
      </c>
      <c r="J578" t="s">
        <v>30</v>
      </c>
      <c r="K578">
        <v>7.0000000000000007E-2</v>
      </c>
      <c r="L578" t="s">
        <v>27</v>
      </c>
      <c r="M578" t="s">
        <v>22</v>
      </c>
      <c r="N578" t="s">
        <v>47</v>
      </c>
      <c r="O578">
        <f>Table2[[#This Row],[Unit_Cost]]*Table2[[#This Row],[Quantity_Sold]]</f>
        <v>49967.29</v>
      </c>
      <c r="P578">
        <f t="shared" ref="P578:P641" si="9">E578-O578</f>
        <v>-49677.91</v>
      </c>
      <c r="Q578" s="3">
        <f>Table2[[#This Row],[Gross_Profit]]/Table2[[#This Row],[Sales_Amount]]</f>
        <v>-171.67015688713803</v>
      </c>
      <c r="R578" t="str">
        <f>TEXT(Table2[[#This Row],[Sale_Date]],"mmmm")</f>
        <v>August</v>
      </c>
      <c r="S578" s="4">
        <f>YEAR(Table2[[#This Row],[Sale_Date]])</f>
        <v>2023</v>
      </c>
    </row>
    <row r="579" spans="1:19" x14ac:dyDescent="0.35">
      <c r="A579">
        <v>1090</v>
      </c>
      <c r="B579" s="1">
        <v>44965</v>
      </c>
      <c r="C579" t="s">
        <v>33</v>
      </c>
      <c r="D579" t="s">
        <v>15</v>
      </c>
      <c r="E579">
        <v>1740.91</v>
      </c>
      <c r="F579">
        <v>44</v>
      </c>
      <c r="G579" t="s">
        <v>29</v>
      </c>
      <c r="H579">
        <v>3542.18</v>
      </c>
      <c r="I579">
        <v>3578.49</v>
      </c>
      <c r="J579" t="s">
        <v>17</v>
      </c>
      <c r="K579">
        <v>0.12</v>
      </c>
      <c r="L579" t="s">
        <v>18</v>
      </c>
      <c r="M579" t="s">
        <v>19</v>
      </c>
      <c r="N579" t="s">
        <v>53</v>
      </c>
      <c r="O579">
        <f>Table2[[#This Row],[Unit_Cost]]*Table2[[#This Row],[Quantity_Sold]]</f>
        <v>155855.91999999998</v>
      </c>
      <c r="P579">
        <f t="shared" si="9"/>
        <v>-154115.00999999998</v>
      </c>
      <c r="Q579" s="3">
        <f>Table2[[#This Row],[Gross_Profit]]/Table2[[#This Row],[Sales_Amount]]</f>
        <v>-88.52554698404856</v>
      </c>
      <c r="R579" t="str">
        <f>TEXT(Table2[[#This Row],[Sale_Date]],"mmmm")</f>
        <v>February</v>
      </c>
      <c r="S579" s="4">
        <f>YEAR(Table2[[#This Row],[Sale_Date]])</f>
        <v>2023</v>
      </c>
    </row>
    <row r="580" spans="1:19" x14ac:dyDescent="0.35">
      <c r="A580">
        <v>1034</v>
      </c>
      <c r="B580" s="1">
        <v>45228</v>
      </c>
      <c r="C580" t="s">
        <v>24</v>
      </c>
      <c r="D580" t="s">
        <v>15</v>
      </c>
      <c r="E580">
        <v>8919.4699999999993</v>
      </c>
      <c r="F580">
        <v>34</v>
      </c>
      <c r="G580" t="s">
        <v>26</v>
      </c>
      <c r="H580">
        <v>978.15</v>
      </c>
      <c r="I580">
        <v>1040.21</v>
      </c>
      <c r="J580" t="s">
        <v>30</v>
      </c>
      <c r="K580">
        <v>0.12</v>
      </c>
      <c r="L580" t="s">
        <v>31</v>
      </c>
      <c r="M580" t="s">
        <v>22</v>
      </c>
      <c r="N580" t="s">
        <v>45</v>
      </c>
      <c r="O580">
        <f>Table2[[#This Row],[Unit_Cost]]*Table2[[#This Row],[Quantity_Sold]]</f>
        <v>33257.1</v>
      </c>
      <c r="P580">
        <f t="shared" si="9"/>
        <v>-24337.629999999997</v>
      </c>
      <c r="Q580" s="3">
        <f>Table2[[#This Row],[Gross_Profit]]/Table2[[#This Row],[Sales_Amount]]</f>
        <v>-2.7285959815998035</v>
      </c>
      <c r="R580" t="str">
        <f>TEXT(Table2[[#This Row],[Sale_Date]],"mmmm")</f>
        <v>October</v>
      </c>
      <c r="S580" s="4">
        <f>YEAR(Table2[[#This Row],[Sale_Date]])</f>
        <v>2023</v>
      </c>
    </row>
    <row r="581" spans="1:19" x14ac:dyDescent="0.35">
      <c r="A581">
        <v>1007</v>
      </c>
      <c r="B581" s="1">
        <v>44955</v>
      </c>
      <c r="C581" t="s">
        <v>33</v>
      </c>
      <c r="D581" t="s">
        <v>21</v>
      </c>
      <c r="E581">
        <v>2491.21</v>
      </c>
      <c r="F581">
        <v>13</v>
      </c>
      <c r="G581" t="s">
        <v>16</v>
      </c>
      <c r="H581">
        <v>3765.46</v>
      </c>
      <c r="I581">
        <v>3860.56</v>
      </c>
      <c r="J581" t="s">
        <v>17</v>
      </c>
      <c r="K581">
        <v>0.22</v>
      </c>
      <c r="L581" t="s">
        <v>18</v>
      </c>
      <c r="M581" t="s">
        <v>22</v>
      </c>
      <c r="N581" t="s">
        <v>37</v>
      </c>
      <c r="O581">
        <f>Table2[[#This Row],[Unit_Cost]]*Table2[[#This Row],[Quantity_Sold]]</f>
        <v>48950.98</v>
      </c>
      <c r="P581">
        <f t="shared" si="9"/>
        <v>-46459.770000000004</v>
      </c>
      <c r="Q581" s="3">
        <f>Table2[[#This Row],[Gross_Profit]]/Table2[[#This Row],[Sales_Amount]]</f>
        <v>-18.649479570168715</v>
      </c>
      <c r="R581" t="str">
        <f>TEXT(Table2[[#This Row],[Sale_Date]],"mmmm")</f>
        <v>January</v>
      </c>
      <c r="S581" s="4">
        <f>YEAR(Table2[[#This Row],[Sale_Date]])</f>
        <v>2023</v>
      </c>
    </row>
    <row r="582" spans="1:19" x14ac:dyDescent="0.35">
      <c r="A582">
        <v>1068</v>
      </c>
      <c r="B582" s="1">
        <v>45244</v>
      </c>
      <c r="C582" t="s">
        <v>33</v>
      </c>
      <c r="D582" t="s">
        <v>21</v>
      </c>
      <c r="E582">
        <v>3607.29</v>
      </c>
      <c r="F582">
        <v>42</v>
      </c>
      <c r="G582" t="s">
        <v>29</v>
      </c>
      <c r="H582">
        <v>1218.18</v>
      </c>
      <c r="I582">
        <v>1566.36</v>
      </c>
      <c r="J582" t="s">
        <v>17</v>
      </c>
      <c r="K582">
        <v>0.03</v>
      </c>
      <c r="L582" t="s">
        <v>31</v>
      </c>
      <c r="M582" t="s">
        <v>22</v>
      </c>
      <c r="N582" t="s">
        <v>37</v>
      </c>
      <c r="O582">
        <f>Table2[[#This Row],[Unit_Cost]]*Table2[[#This Row],[Quantity_Sold]]</f>
        <v>51163.560000000005</v>
      </c>
      <c r="P582">
        <f t="shared" si="9"/>
        <v>-47556.270000000004</v>
      </c>
      <c r="Q582" s="3">
        <f>Table2[[#This Row],[Gross_Profit]]/Table2[[#This Row],[Sales_Amount]]</f>
        <v>-13.183378658217112</v>
      </c>
      <c r="R582" t="str">
        <f>TEXT(Table2[[#This Row],[Sale_Date]],"mmmm")</f>
        <v>November</v>
      </c>
      <c r="S582" s="4">
        <f>YEAR(Table2[[#This Row],[Sale_Date]])</f>
        <v>2023</v>
      </c>
    </row>
    <row r="583" spans="1:19" x14ac:dyDescent="0.35">
      <c r="A583">
        <v>1058</v>
      </c>
      <c r="B583" s="1">
        <v>45171</v>
      </c>
      <c r="C583" t="s">
        <v>24</v>
      </c>
      <c r="D583" t="s">
        <v>25</v>
      </c>
      <c r="E583">
        <v>1142.92</v>
      </c>
      <c r="F583">
        <v>9</v>
      </c>
      <c r="G583" t="s">
        <v>16</v>
      </c>
      <c r="H583">
        <v>760.55</v>
      </c>
      <c r="I583">
        <v>1086.8899999999901</v>
      </c>
      <c r="J583" t="s">
        <v>17</v>
      </c>
      <c r="K583">
        <v>0.15</v>
      </c>
      <c r="L583" t="s">
        <v>18</v>
      </c>
      <c r="M583" t="s">
        <v>22</v>
      </c>
      <c r="N583" t="s">
        <v>28</v>
      </c>
      <c r="O583">
        <f>Table2[[#This Row],[Unit_Cost]]*Table2[[#This Row],[Quantity_Sold]]</f>
        <v>6844.95</v>
      </c>
      <c r="P583">
        <f t="shared" si="9"/>
        <v>-5702.03</v>
      </c>
      <c r="Q583" s="3">
        <f>Table2[[#This Row],[Gross_Profit]]/Table2[[#This Row],[Sales_Amount]]</f>
        <v>-4.98900185489798</v>
      </c>
      <c r="R583" t="str">
        <f>TEXT(Table2[[#This Row],[Sale_Date]],"mmmm")</f>
        <v>September</v>
      </c>
      <c r="S583" s="4">
        <f>YEAR(Table2[[#This Row],[Sale_Date]])</f>
        <v>2023</v>
      </c>
    </row>
    <row r="584" spans="1:19" x14ac:dyDescent="0.35">
      <c r="A584">
        <v>1075</v>
      </c>
      <c r="B584" s="1">
        <v>45162</v>
      </c>
      <c r="C584" t="s">
        <v>33</v>
      </c>
      <c r="D584" t="s">
        <v>21</v>
      </c>
      <c r="E584">
        <v>2301.38</v>
      </c>
      <c r="F584">
        <v>42</v>
      </c>
      <c r="G584" t="s">
        <v>29</v>
      </c>
      <c r="H584">
        <v>967.77</v>
      </c>
      <c r="I584">
        <v>1414.88</v>
      </c>
      <c r="J584" t="s">
        <v>30</v>
      </c>
      <c r="K584">
        <v>0.17</v>
      </c>
      <c r="L584" t="s">
        <v>27</v>
      </c>
      <c r="M584" t="s">
        <v>19</v>
      </c>
      <c r="N584" t="s">
        <v>37</v>
      </c>
      <c r="O584">
        <f>Table2[[#This Row],[Unit_Cost]]*Table2[[#This Row],[Quantity_Sold]]</f>
        <v>40646.339999999997</v>
      </c>
      <c r="P584">
        <f t="shared" si="9"/>
        <v>-38344.959999999999</v>
      </c>
      <c r="Q584" s="3">
        <f>Table2[[#This Row],[Gross_Profit]]/Table2[[#This Row],[Sales_Amount]]</f>
        <v>-16.661724704307847</v>
      </c>
      <c r="R584" t="str">
        <f>TEXT(Table2[[#This Row],[Sale_Date]],"mmmm")</f>
        <v>August</v>
      </c>
      <c r="S584" s="4">
        <f>YEAR(Table2[[#This Row],[Sale_Date]])</f>
        <v>2023</v>
      </c>
    </row>
    <row r="585" spans="1:19" x14ac:dyDescent="0.35">
      <c r="A585">
        <v>1029</v>
      </c>
      <c r="B585" s="1">
        <v>45111</v>
      </c>
      <c r="C585" t="s">
        <v>33</v>
      </c>
      <c r="D585" t="s">
        <v>15</v>
      </c>
      <c r="E585">
        <v>5240.32</v>
      </c>
      <c r="F585">
        <v>31</v>
      </c>
      <c r="G585" t="s">
        <v>16</v>
      </c>
      <c r="H585">
        <v>951.21</v>
      </c>
      <c r="I585">
        <v>1320.32</v>
      </c>
      <c r="J585" t="s">
        <v>30</v>
      </c>
      <c r="K585">
        <v>0.15</v>
      </c>
      <c r="L585" t="s">
        <v>18</v>
      </c>
      <c r="M585" t="s">
        <v>19</v>
      </c>
      <c r="N585" t="s">
        <v>53</v>
      </c>
      <c r="O585">
        <f>Table2[[#This Row],[Unit_Cost]]*Table2[[#This Row],[Quantity_Sold]]</f>
        <v>29487.510000000002</v>
      </c>
      <c r="P585">
        <f t="shared" si="9"/>
        <v>-24247.190000000002</v>
      </c>
      <c r="Q585" s="3">
        <f>Table2[[#This Row],[Gross_Profit]]/Table2[[#This Row],[Sales_Amount]]</f>
        <v>-4.6270437683194929</v>
      </c>
      <c r="R585" t="str">
        <f>TEXT(Table2[[#This Row],[Sale_Date]],"mmmm")</f>
        <v>July</v>
      </c>
      <c r="S585" s="4">
        <f>YEAR(Table2[[#This Row],[Sale_Date]])</f>
        <v>2023</v>
      </c>
    </row>
    <row r="586" spans="1:19" x14ac:dyDescent="0.35">
      <c r="A586">
        <v>1036</v>
      </c>
      <c r="B586" s="1">
        <v>45198</v>
      </c>
      <c r="C586" t="s">
        <v>14</v>
      </c>
      <c r="D586" t="s">
        <v>15</v>
      </c>
      <c r="E586">
        <v>6116.75</v>
      </c>
      <c r="F586">
        <v>7</v>
      </c>
      <c r="G586" t="s">
        <v>29</v>
      </c>
      <c r="H586">
        <v>2588.67</v>
      </c>
      <c r="I586">
        <v>2847.76</v>
      </c>
      <c r="J586" t="s">
        <v>30</v>
      </c>
      <c r="K586">
        <v>0.22</v>
      </c>
      <c r="L586" t="s">
        <v>18</v>
      </c>
      <c r="M586" t="s">
        <v>22</v>
      </c>
      <c r="N586" t="s">
        <v>20</v>
      </c>
      <c r="O586">
        <f>Table2[[#This Row],[Unit_Cost]]*Table2[[#This Row],[Quantity_Sold]]</f>
        <v>18120.690000000002</v>
      </c>
      <c r="P586">
        <f t="shared" si="9"/>
        <v>-12003.940000000002</v>
      </c>
      <c r="Q586" s="3">
        <f>Table2[[#This Row],[Gross_Profit]]/Table2[[#This Row],[Sales_Amount]]</f>
        <v>-1.9624702660726696</v>
      </c>
      <c r="R586" t="str">
        <f>TEXT(Table2[[#This Row],[Sale_Date]],"mmmm")</f>
        <v>September</v>
      </c>
      <c r="S586" s="4">
        <f>YEAR(Table2[[#This Row],[Sale_Date]])</f>
        <v>2023</v>
      </c>
    </row>
    <row r="587" spans="1:19" x14ac:dyDescent="0.35">
      <c r="A587">
        <v>1089</v>
      </c>
      <c r="B587" s="1">
        <v>45162</v>
      </c>
      <c r="C587" t="s">
        <v>38</v>
      </c>
      <c r="D587" t="s">
        <v>15</v>
      </c>
      <c r="E587">
        <v>2528.9899999999998</v>
      </c>
      <c r="F587">
        <v>4</v>
      </c>
      <c r="G587" t="s">
        <v>16</v>
      </c>
      <c r="H587">
        <v>4231.75</v>
      </c>
      <c r="I587">
        <v>4727.75</v>
      </c>
      <c r="J587" t="s">
        <v>17</v>
      </c>
      <c r="K587">
        <v>0.12</v>
      </c>
      <c r="L587" t="s">
        <v>31</v>
      </c>
      <c r="M587" t="s">
        <v>22</v>
      </c>
      <c r="N587" t="s">
        <v>40</v>
      </c>
      <c r="O587">
        <f>Table2[[#This Row],[Unit_Cost]]*Table2[[#This Row],[Quantity_Sold]]</f>
        <v>16927</v>
      </c>
      <c r="P587">
        <f t="shared" si="9"/>
        <v>-14398.01</v>
      </c>
      <c r="Q587" s="3">
        <f>Table2[[#This Row],[Gross_Profit]]/Table2[[#This Row],[Sales_Amount]]</f>
        <v>-5.6931858172630188</v>
      </c>
      <c r="R587" t="str">
        <f>TEXT(Table2[[#This Row],[Sale_Date]],"mmmm")</f>
        <v>August</v>
      </c>
      <c r="S587" s="4">
        <f>YEAR(Table2[[#This Row],[Sale_Date]])</f>
        <v>2023</v>
      </c>
    </row>
    <row r="588" spans="1:19" x14ac:dyDescent="0.35">
      <c r="A588">
        <v>1021</v>
      </c>
      <c r="B588" s="1">
        <v>45165</v>
      </c>
      <c r="C588" t="s">
        <v>38</v>
      </c>
      <c r="D588" t="s">
        <v>15</v>
      </c>
      <c r="E588">
        <v>671.55</v>
      </c>
      <c r="F588">
        <v>19</v>
      </c>
      <c r="G588" t="s">
        <v>29</v>
      </c>
      <c r="H588">
        <v>444.05</v>
      </c>
      <c r="I588">
        <v>584.44000000000005</v>
      </c>
      <c r="J588" t="s">
        <v>17</v>
      </c>
      <c r="K588">
        <v>0.28000000000000003</v>
      </c>
      <c r="L588" t="s">
        <v>18</v>
      </c>
      <c r="M588" t="s">
        <v>22</v>
      </c>
      <c r="N588" t="s">
        <v>40</v>
      </c>
      <c r="O588">
        <f>Table2[[#This Row],[Unit_Cost]]*Table2[[#This Row],[Quantity_Sold]]</f>
        <v>8436.9500000000007</v>
      </c>
      <c r="P588">
        <f t="shared" si="9"/>
        <v>-7765.4000000000005</v>
      </c>
      <c r="Q588" s="3">
        <f>Table2[[#This Row],[Gross_Profit]]/Table2[[#This Row],[Sales_Amount]]</f>
        <v>-11.563398108852656</v>
      </c>
      <c r="R588" t="str">
        <f>TEXT(Table2[[#This Row],[Sale_Date]],"mmmm")</f>
        <v>August</v>
      </c>
      <c r="S588" s="4">
        <f>YEAR(Table2[[#This Row],[Sale_Date]])</f>
        <v>2023</v>
      </c>
    </row>
    <row r="589" spans="1:19" x14ac:dyDescent="0.3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c r="O589">
        <f>Table2[[#This Row],[Unit_Cost]]*Table2[[#This Row],[Quantity_Sold]]</f>
        <v>149076.06</v>
      </c>
      <c r="P589">
        <f t="shared" si="9"/>
        <v>-145104.82999999999</v>
      </c>
      <c r="Q589" s="3">
        <f>Table2[[#This Row],[Gross_Profit]]/Table2[[#This Row],[Sales_Amount]]</f>
        <v>-36.539014360789977</v>
      </c>
      <c r="R589" t="str">
        <f>TEXT(Table2[[#This Row],[Sale_Date]],"mmmm")</f>
        <v>September</v>
      </c>
      <c r="S589" s="4">
        <f>YEAR(Table2[[#This Row],[Sale_Date]])</f>
        <v>2023</v>
      </c>
    </row>
    <row r="590" spans="1:19" x14ac:dyDescent="0.35">
      <c r="A590">
        <v>1010</v>
      </c>
      <c r="B590" s="1">
        <v>45285</v>
      </c>
      <c r="C590" t="s">
        <v>24</v>
      </c>
      <c r="D590" t="s">
        <v>25</v>
      </c>
      <c r="E590">
        <v>2418.61</v>
      </c>
      <c r="F590">
        <v>30</v>
      </c>
      <c r="G590" t="s">
        <v>26</v>
      </c>
      <c r="H590">
        <v>3289.01</v>
      </c>
      <c r="I590">
        <v>3508.14</v>
      </c>
      <c r="J590" t="s">
        <v>30</v>
      </c>
      <c r="K590">
        <v>0.17</v>
      </c>
      <c r="L590" t="s">
        <v>27</v>
      </c>
      <c r="M590" t="s">
        <v>22</v>
      </c>
      <c r="N590" t="s">
        <v>28</v>
      </c>
      <c r="O590">
        <f>Table2[[#This Row],[Unit_Cost]]*Table2[[#This Row],[Quantity_Sold]]</f>
        <v>98670.3</v>
      </c>
      <c r="P590">
        <f t="shared" si="9"/>
        <v>-96251.69</v>
      </c>
      <c r="Q590" s="3">
        <f>Table2[[#This Row],[Gross_Profit]]/Table2[[#This Row],[Sales_Amount]]</f>
        <v>-39.79628381591079</v>
      </c>
      <c r="R590" t="str">
        <f>TEXT(Table2[[#This Row],[Sale_Date]],"mmmm")</f>
        <v>December</v>
      </c>
      <c r="S590" s="4">
        <f>YEAR(Table2[[#This Row],[Sale_Date]])</f>
        <v>2023</v>
      </c>
    </row>
    <row r="591" spans="1:19" x14ac:dyDescent="0.35">
      <c r="A591">
        <v>1073</v>
      </c>
      <c r="B591" s="1">
        <v>45266</v>
      </c>
      <c r="C591" t="s">
        <v>42</v>
      </c>
      <c r="D591" t="s">
        <v>15</v>
      </c>
      <c r="E591">
        <v>2273.58</v>
      </c>
      <c r="F591">
        <v>31</v>
      </c>
      <c r="G591" t="s">
        <v>26</v>
      </c>
      <c r="H591">
        <v>4368.97</v>
      </c>
      <c r="I591">
        <v>4696.8500000000004</v>
      </c>
      <c r="J591" t="s">
        <v>17</v>
      </c>
      <c r="K591">
        <v>0.25</v>
      </c>
      <c r="L591" t="s">
        <v>27</v>
      </c>
      <c r="M591" t="s">
        <v>22</v>
      </c>
      <c r="N591" t="s">
        <v>49</v>
      </c>
      <c r="O591">
        <f>Table2[[#This Row],[Unit_Cost]]*Table2[[#This Row],[Quantity_Sold]]</f>
        <v>135438.07</v>
      </c>
      <c r="P591">
        <f t="shared" si="9"/>
        <v>-133164.49000000002</v>
      </c>
      <c r="Q591" s="3">
        <f>Table2[[#This Row],[Gross_Profit]]/Table2[[#This Row],[Sales_Amount]]</f>
        <v>-58.570399985925292</v>
      </c>
      <c r="R591" t="str">
        <f>TEXT(Table2[[#This Row],[Sale_Date]],"mmmm")</f>
        <v>December</v>
      </c>
      <c r="S591" s="4">
        <f>YEAR(Table2[[#This Row],[Sale_Date]])</f>
        <v>2023</v>
      </c>
    </row>
    <row r="592" spans="1:19" x14ac:dyDescent="0.35">
      <c r="A592">
        <v>1024</v>
      </c>
      <c r="B592" s="1">
        <v>44991</v>
      </c>
      <c r="C592" t="s">
        <v>42</v>
      </c>
      <c r="D592" t="s">
        <v>25</v>
      </c>
      <c r="E592">
        <v>9602.64</v>
      </c>
      <c r="F592">
        <v>35</v>
      </c>
      <c r="G592" t="s">
        <v>35</v>
      </c>
      <c r="H592">
        <v>1258.53</v>
      </c>
      <c r="I592">
        <v>1624.8899999999901</v>
      </c>
      <c r="J592" t="s">
        <v>30</v>
      </c>
      <c r="K592">
        <v>0.08</v>
      </c>
      <c r="L592" t="s">
        <v>31</v>
      </c>
      <c r="M592" t="s">
        <v>19</v>
      </c>
      <c r="N592" t="s">
        <v>43</v>
      </c>
      <c r="O592">
        <f>Table2[[#This Row],[Unit_Cost]]*Table2[[#This Row],[Quantity_Sold]]</f>
        <v>44048.549999999996</v>
      </c>
      <c r="P592">
        <f t="shared" si="9"/>
        <v>-34445.909999999996</v>
      </c>
      <c r="Q592" s="3">
        <f>Table2[[#This Row],[Gross_Profit]]/Table2[[#This Row],[Sales_Amount]]</f>
        <v>-3.587129164479768</v>
      </c>
      <c r="R592" t="str">
        <f>TEXT(Table2[[#This Row],[Sale_Date]],"mmmm")</f>
        <v>March</v>
      </c>
      <c r="S592" s="4">
        <f>YEAR(Table2[[#This Row],[Sale_Date]])</f>
        <v>2023</v>
      </c>
    </row>
    <row r="593" spans="1:19" x14ac:dyDescent="0.35">
      <c r="A593">
        <v>1064</v>
      </c>
      <c r="B593" s="1">
        <v>45103</v>
      </c>
      <c r="C593" t="s">
        <v>42</v>
      </c>
      <c r="D593" t="s">
        <v>15</v>
      </c>
      <c r="E593">
        <v>6201.37</v>
      </c>
      <c r="F593">
        <v>21</v>
      </c>
      <c r="G593" t="s">
        <v>29</v>
      </c>
      <c r="H593">
        <v>2278.04</v>
      </c>
      <c r="I593">
        <v>2598.58</v>
      </c>
      <c r="J593" t="s">
        <v>17</v>
      </c>
      <c r="K593">
        <v>0.02</v>
      </c>
      <c r="L593" t="s">
        <v>31</v>
      </c>
      <c r="M593" t="s">
        <v>22</v>
      </c>
      <c r="N593" t="s">
        <v>49</v>
      </c>
      <c r="O593">
        <f>Table2[[#This Row],[Unit_Cost]]*Table2[[#This Row],[Quantity_Sold]]</f>
        <v>47838.84</v>
      </c>
      <c r="P593">
        <f t="shared" si="9"/>
        <v>-41637.469999999994</v>
      </c>
      <c r="Q593" s="3">
        <f>Table2[[#This Row],[Gross_Profit]]/Table2[[#This Row],[Sales_Amount]]</f>
        <v>-6.7142373378785649</v>
      </c>
      <c r="R593" t="str">
        <f>TEXT(Table2[[#This Row],[Sale_Date]],"mmmm")</f>
        <v>June</v>
      </c>
      <c r="S593" s="4">
        <f>YEAR(Table2[[#This Row],[Sale_Date]])</f>
        <v>2023</v>
      </c>
    </row>
    <row r="594" spans="1:19" x14ac:dyDescent="0.35">
      <c r="A594">
        <v>1099</v>
      </c>
      <c r="B594" s="1">
        <v>44929</v>
      </c>
      <c r="C594" t="s">
        <v>14</v>
      </c>
      <c r="D594" t="s">
        <v>34</v>
      </c>
      <c r="E594">
        <v>5613.1</v>
      </c>
      <c r="F594">
        <v>31</v>
      </c>
      <c r="G594" t="s">
        <v>16</v>
      </c>
      <c r="H594">
        <v>4632.8500000000004</v>
      </c>
      <c r="I594">
        <v>4711.7</v>
      </c>
      <c r="J594" t="s">
        <v>30</v>
      </c>
      <c r="K594">
        <v>0.21</v>
      </c>
      <c r="L594" t="s">
        <v>18</v>
      </c>
      <c r="M594" t="s">
        <v>22</v>
      </c>
      <c r="N594" t="s">
        <v>46</v>
      </c>
      <c r="O594">
        <f>Table2[[#This Row],[Unit_Cost]]*Table2[[#This Row],[Quantity_Sold]]</f>
        <v>143618.35</v>
      </c>
      <c r="P594">
        <f t="shared" si="9"/>
        <v>-138005.25</v>
      </c>
      <c r="Q594" s="3">
        <f>Table2[[#This Row],[Gross_Profit]]/Table2[[#This Row],[Sales_Amount]]</f>
        <v>-24.586280308563893</v>
      </c>
      <c r="R594" t="str">
        <f>TEXT(Table2[[#This Row],[Sale_Date]],"mmmm")</f>
        <v>January</v>
      </c>
      <c r="S594" s="4">
        <f>YEAR(Table2[[#This Row],[Sale_Date]])</f>
        <v>2023</v>
      </c>
    </row>
    <row r="595" spans="1:19" x14ac:dyDescent="0.35">
      <c r="A595">
        <v>1049</v>
      </c>
      <c r="B595" s="1">
        <v>45068</v>
      </c>
      <c r="C595" t="s">
        <v>14</v>
      </c>
      <c r="D595" t="s">
        <v>34</v>
      </c>
      <c r="E595">
        <v>4216.17</v>
      </c>
      <c r="F595">
        <v>19</v>
      </c>
      <c r="G595" t="s">
        <v>29</v>
      </c>
      <c r="H595">
        <v>3316.97</v>
      </c>
      <c r="I595">
        <v>3544.02</v>
      </c>
      <c r="J595" t="s">
        <v>17</v>
      </c>
      <c r="K595">
        <v>0.14000000000000001</v>
      </c>
      <c r="L595" t="s">
        <v>18</v>
      </c>
      <c r="M595" t="s">
        <v>19</v>
      </c>
      <c r="N595" t="s">
        <v>46</v>
      </c>
      <c r="O595">
        <f>Table2[[#This Row],[Unit_Cost]]*Table2[[#This Row],[Quantity_Sold]]</f>
        <v>63022.429999999993</v>
      </c>
      <c r="P595">
        <f t="shared" si="9"/>
        <v>-58806.259999999995</v>
      </c>
      <c r="Q595" s="3">
        <f>Table2[[#This Row],[Gross_Profit]]/Table2[[#This Row],[Sales_Amount]]</f>
        <v>-13.947791478996338</v>
      </c>
      <c r="R595" t="str">
        <f>TEXT(Table2[[#This Row],[Sale_Date]],"mmmm")</f>
        <v>May</v>
      </c>
      <c r="S595" s="4">
        <f>YEAR(Table2[[#This Row],[Sale_Date]])</f>
        <v>2023</v>
      </c>
    </row>
    <row r="596" spans="1:19" x14ac:dyDescent="0.35">
      <c r="A596">
        <v>1099</v>
      </c>
      <c r="B596" s="1">
        <v>45084</v>
      </c>
      <c r="C596" t="s">
        <v>33</v>
      </c>
      <c r="D596" t="s">
        <v>34</v>
      </c>
      <c r="E596">
        <v>4346.55</v>
      </c>
      <c r="F596">
        <v>31</v>
      </c>
      <c r="G596" t="s">
        <v>26</v>
      </c>
      <c r="H596">
        <v>1974.4</v>
      </c>
      <c r="I596">
        <v>2259.5</v>
      </c>
      <c r="J596" t="s">
        <v>30</v>
      </c>
      <c r="K596">
        <v>0.27</v>
      </c>
      <c r="L596" t="s">
        <v>18</v>
      </c>
      <c r="M596" t="s">
        <v>22</v>
      </c>
      <c r="N596" t="s">
        <v>36</v>
      </c>
      <c r="O596">
        <f>Table2[[#This Row],[Unit_Cost]]*Table2[[#This Row],[Quantity_Sold]]</f>
        <v>61206.400000000001</v>
      </c>
      <c r="P596">
        <f t="shared" si="9"/>
        <v>-56859.85</v>
      </c>
      <c r="Q596" s="3">
        <f>Table2[[#This Row],[Gross_Profit]]/Table2[[#This Row],[Sales_Amount]]</f>
        <v>-13.081604951053134</v>
      </c>
      <c r="R596" t="str">
        <f>TEXT(Table2[[#This Row],[Sale_Date]],"mmmm")</f>
        <v>June</v>
      </c>
      <c r="S596" s="4">
        <f>YEAR(Table2[[#This Row],[Sale_Date]])</f>
        <v>2023</v>
      </c>
    </row>
    <row r="597" spans="1:19" x14ac:dyDescent="0.35">
      <c r="A597">
        <v>1036</v>
      </c>
      <c r="B597" s="1">
        <v>45250</v>
      </c>
      <c r="C597" t="s">
        <v>42</v>
      </c>
      <c r="D597" t="s">
        <v>34</v>
      </c>
      <c r="E597">
        <v>5454.96</v>
      </c>
      <c r="F597">
        <v>32</v>
      </c>
      <c r="G597" t="s">
        <v>29</v>
      </c>
      <c r="H597">
        <v>700.49</v>
      </c>
      <c r="I597">
        <v>1126.52</v>
      </c>
      <c r="J597" t="s">
        <v>30</v>
      </c>
      <c r="K597">
        <v>0.28999999999999998</v>
      </c>
      <c r="L597" t="s">
        <v>31</v>
      </c>
      <c r="M597" t="s">
        <v>22</v>
      </c>
      <c r="N597" t="s">
        <v>52</v>
      </c>
      <c r="O597">
        <f>Table2[[#This Row],[Unit_Cost]]*Table2[[#This Row],[Quantity_Sold]]</f>
        <v>22415.68</v>
      </c>
      <c r="P597">
        <f t="shared" si="9"/>
        <v>-16960.72</v>
      </c>
      <c r="Q597" s="3">
        <f>Table2[[#This Row],[Gross_Profit]]/Table2[[#This Row],[Sales_Amount]]</f>
        <v>-3.1092290319269069</v>
      </c>
      <c r="R597" t="str">
        <f>TEXT(Table2[[#This Row],[Sale_Date]],"mmmm")</f>
        <v>November</v>
      </c>
      <c r="S597" s="4">
        <f>YEAR(Table2[[#This Row],[Sale_Date]])</f>
        <v>2023</v>
      </c>
    </row>
    <row r="598" spans="1:19" x14ac:dyDescent="0.35">
      <c r="A598">
        <v>1082</v>
      </c>
      <c r="B598" s="1">
        <v>45072</v>
      </c>
      <c r="C598" t="s">
        <v>24</v>
      </c>
      <c r="D598" t="s">
        <v>25</v>
      </c>
      <c r="E598">
        <v>6994.66</v>
      </c>
      <c r="F598">
        <v>2</v>
      </c>
      <c r="G598" t="s">
        <v>16</v>
      </c>
      <c r="H598">
        <v>1349.3</v>
      </c>
      <c r="I598">
        <v>1576.69</v>
      </c>
      <c r="J598" t="s">
        <v>17</v>
      </c>
      <c r="K598">
        <v>0.12</v>
      </c>
      <c r="L598" t="s">
        <v>31</v>
      </c>
      <c r="M598" t="s">
        <v>19</v>
      </c>
      <c r="N598" t="s">
        <v>28</v>
      </c>
      <c r="O598">
        <f>Table2[[#This Row],[Unit_Cost]]*Table2[[#This Row],[Quantity_Sold]]</f>
        <v>2698.6</v>
      </c>
      <c r="P598">
        <f t="shared" si="9"/>
        <v>4296.0599999999995</v>
      </c>
      <c r="Q598" s="3">
        <f>Table2[[#This Row],[Gross_Profit]]/Table2[[#This Row],[Sales_Amount]]</f>
        <v>0.61419139743747364</v>
      </c>
      <c r="R598" t="str">
        <f>TEXT(Table2[[#This Row],[Sale_Date]],"mmmm")</f>
        <v>May</v>
      </c>
      <c r="S598" s="4">
        <f>YEAR(Table2[[#This Row],[Sale_Date]])</f>
        <v>2023</v>
      </c>
    </row>
    <row r="599" spans="1:19" x14ac:dyDescent="0.35">
      <c r="A599">
        <v>1096</v>
      </c>
      <c r="B599" s="1">
        <v>45219</v>
      </c>
      <c r="C599" t="s">
        <v>24</v>
      </c>
      <c r="D599" t="s">
        <v>25</v>
      </c>
      <c r="E599">
        <v>7051.25</v>
      </c>
      <c r="F599">
        <v>10</v>
      </c>
      <c r="G599" t="s">
        <v>29</v>
      </c>
      <c r="H599">
        <v>2927.02</v>
      </c>
      <c r="I599">
        <v>3387.21</v>
      </c>
      <c r="J599" t="s">
        <v>17</v>
      </c>
      <c r="K599">
        <v>0.12</v>
      </c>
      <c r="L599" t="s">
        <v>18</v>
      </c>
      <c r="M599" t="s">
        <v>22</v>
      </c>
      <c r="N599" t="s">
        <v>28</v>
      </c>
      <c r="O599">
        <f>Table2[[#This Row],[Unit_Cost]]*Table2[[#This Row],[Quantity_Sold]]</f>
        <v>29270.2</v>
      </c>
      <c r="P599">
        <f t="shared" si="9"/>
        <v>-22218.95</v>
      </c>
      <c r="Q599" s="3">
        <f>Table2[[#This Row],[Gross_Profit]]/Table2[[#This Row],[Sales_Amount]]</f>
        <v>-3.1510654139336998</v>
      </c>
      <c r="R599" t="str">
        <f>TEXT(Table2[[#This Row],[Sale_Date]],"mmmm")</f>
        <v>October</v>
      </c>
      <c r="S599" s="4">
        <f>YEAR(Table2[[#This Row],[Sale_Date]])</f>
        <v>2023</v>
      </c>
    </row>
    <row r="600" spans="1:19" x14ac:dyDescent="0.35">
      <c r="A600">
        <v>1024</v>
      </c>
      <c r="B600" s="1">
        <v>45079</v>
      </c>
      <c r="C600" t="s">
        <v>42</v>
      </c>
      <c r="D600" t="s">
        <v>21</v>
      </c>
      <c r="E600">
        <v>1799.77</v>
      </c>
      <c r="F600">
        <v>2</v>
      </c>
      <c r="G600" t="s">
        <v>16</v>
      </c>
      <c r="H600">
        <v>3604.93</v>
      </c>
      <c r="I600">
        <v>3830.71</v>
      </c>
      <c r="J600" t="s">
        <v>17</v>
      </c>
      <c r="K600">
        <v>0.12</v>
      </c>
      <c r="L600" t="s">
        <v>31</v>
      </c>
      <c r="M600" t="s">
        <v>19</v>
      </c>
      <c r="N600" t="s">
        <v>51</v>
      </c>
      <c r="O600">
        <f>Table2[[#This Row],[Unit_Cost]]*Table2[[#This Row],[Quantity_Sold]]</f>
        <v>7209.86</v>
      </c>
      <c r="P600">
        <f t="shared" si="9"/>
        <v>-5410.09</v>
      </c>
      <c r="Q600" s="3">
        <f>Table2[[#This Row],[Gross_Profit]]/Table2[[#This Row],[Sales_Amount]]</f>
        <v>-3.0059896542335967</v>
      </c>
      <c r="R600" t="str">
        <f>TEXT(Table2[[#This Row],[Sale_Date]],"mmmm")</f>
        <v>June</v>
      </c>
      <c r="S600" s="4">
        <f>YEAR(Table2[[#This Row],[Sale_Date]])</f>
        <v>2023</v>
      </c>
    </row>
    <row r="601" spans="1:19" x14ac:dyDescent="0.35">
      <c r="A601">
        <v>1023</v>
      </c>
      <c r="B601" s="1">
        <v>45119</v>
      </c>
      <c r="C601" t="s">
        <v>42</v>
      </c>
      <c r="D601" t="s">
        <v>15</v>
      </c>
      <c r="E601">
        <v>5051.12</v>
      </c>
      <c r="F601">
        <v>2</v>
      </c>
      <c r="G601" t="s">
        <v>26</v>
      </c>
      <c r="H601">
        <v>665.89</v>
      </c>
      <c r="I601">
        <v>944.79</v>
      </c>
      <c r="J601" t="s">
        <v>30</v>
      </c>
      <c r="K601">
        <v>0.1</v>
      </c>
      <c r="L601" t="s">
        <v>31</v>
      </c>
      <c r="M601" t="s">
        <v>22</v>
      </c>
      <c r="N601" t="s">
        <v>49</v>
      </c>
      <c r="O601">
        <f>Table2[[#This Row],[Unit_Cost]]*Table2[[#This Row],[Quantity_Sold]]</f>
        <v>1331.78</v>
      </c>
      <c r="P601">
        <f t="shared" si="9"/>
        <v>3719.34</v>
      </c>
      <c r="Q601" s="3">
        <f>Table2[[#This Row],[Gross_Profit]]/Table2[[#This Row],[Sales_Amount]]</f>
        <v>0.73633966328259881</v>
      </c>
      <c r="R601" t="str">
        <f>TEXT(Table2[[#This Row],[Sale_Date]],"mmmm")</f>
        <v>July</v>
      </c>
      <c r="S601" s="4">
        <f>YEAR(Table2[[#This Row],[Sale_Date]])</f>
        <v>2023</v>
      </c>
    </row>
    <row r="602" spans="1:19" x14ac:dyDescent="0.35">
      <c r="A602">
        <v>1062</v>
      </c>
      <c r="B602" s="1">
        <v>44999</v>
      </c>
      <c r="C602" t="s">
        <v>42</v>
      </c>
      <c r="D602" t="s">
        <v>34</v>
      </c>
      <c r="E602">
        <v>4178.3900000000003</v>
      </c>
      <c r="F602">
        <v>24</v>
      </c>
      <c r="G602" t="s">
        <v>26</v>
      </c>
      <c r="H602">
        <v>3018.01</v>
      </c>
      <c r="I602">
        <v>3418.19</v>
      </c>
      <c r="J602" t="s">
        <v>17</v>
      </c>
      <c r="K602">
        <v>0.23</v>
      </c>
      <c r="L602" t="s">
        <v>27</v>
      </c>
      <c r="M602" t="s">
        <v>22</v>
      </c>
      <c r="N602" t="s">
        <v>52</v>
      </c>
      <c r="O602">
        <f>Table2[[#This Row],[Unit_Cost]]*Table2[[#This Row],[Quantity_Sold]]</f>
        <v>72432.240000000005</v>
      </c>
      <c r="P602">
        <f t="shared" si="9"/>
        <v>-68253.850000000006</v>
      </c>
      <c r="Q602" s="3">
        <f>Table2[[#This Row],[Gross_Profit]]/Table2[[#This Row],[Sales_Amount]]</f>
        <v>-16.3349639454431</v>
      </c>
      <c r="R602" t="str">
        <f>TEXT(Table2[[#This Row],[Sale_Date]],"mmmm")</f>
        <v>March</v>
      </c>
      <c r="S602" s="4">
        <f>YEAR(Table2[[#This Row],[Sale_Date]])</f>
        <v>2023</v>
      </c>
    </row>
    <row r="603" spans="1:19" x14ac:dyDescent="0.35">
      <c r="A603">
        <v>1096</v>
      </c>
      <c r="B603" s="1">
        <v>45231</v>
      </c>
      <c r="C603" t="s">
        <v>14</v>
      </c>
      <c r="D603" t="s">
        <v>25</v>
      </c>
      <c r="E603">
        <v>8718.2199999999993</v>
      </c>
      <c r="F603">
        <v>17</v>
      </c>
      <c r="G603" t="s">
        <v>26</v>
      </c>
      <c r="H603">
        <v>2774.24</v>
      </c>
      <c r="I603">
        <v>3069.9399999999901</v>
      </c>
      <c r="J603" t="s">
        <v>17</v>
      </c>
      <c r="K603">
        <v>0.23</v>
      </c>
      <c r="L603" t="s">
        <v>27</v>
      </c>
      <c r="M603" t="s">
        <v>22</v>
      </c>
      <c r="N603" t="s">
        <v>32</v>
      </c>
      <c r="O603">
        <f>Table2[[#This Row],[Unit_Cost]]*Table2[[#This Row],[Quantity_Sold]]</f>
        <v>47162.079999999994</v>
      </c>
      <c r="P603">
        <f t="shared" si="9"/>
        <v>-38443.859999999993</v>
      </c>
      <c r="Q603" s="3">
        <f>Table2[[#This Row],[Gross_Profit]]/Table2[[#This Row],[Sales_Amount]]</f>
        <v>-4.4095996659868639</v>
      </c>
      <c r="R603" t="str">
        <f>TEXT(Table2[[#This Row],[Sale_Date]],"mmmm")</f>
        <v>November</v>
      </c>
      <c r="S603" s="4">
        <f>YEAR(Table2[[#This Row],[Sale_Date]])</f>
        <v>2023</v>
      </c>
    </row>
    <row r="604" spans="1:19" x14ac:dyDescent="0.35">
      <c r="A604">
        <v>1037</v>
      </c>
      <c r="B604" s="1">
        <v>45270</v>
      </c>
      <c r="C604" t="s">
        <v>14</v>
      </c>
      <c r="D604" t="s">
        <v>15</v>
      </c>
      <c r="E604">
        <v>6351.05</v>
      </c>
      <c r="F604">
        <v>32</v>
      </c>
      <c r="G604" t="s">
        <v>35</v>
      </c>
      <c r="H604">
        <v>2594.08</v>
      </c>
      <c r="I604">
        <v>3074.59</v>
      </c>
      <c r="J604" t="s">
        <v>30</v>
      </c>
      <c r="K604">
        <v>0.14000000000000001</v>
      </c>
      <c r="L604" t="s">
        <v>18</v>
      </c>
      <c r="M604" t="s">
        <v>22</v>
      </c>
      <c r="N604" t="s">
        <v>20</v>
      </c>
      <c r="O604">
        <f>Table2[[#This Row],[Unit_Cost]]*Table2[[#This Row],[Quantity_Sold]]</f>
        <v>83010.559999999998</v>
      </c>
      <c r="P604">
        <f t="shared" si="9"/>
        <v>-76659.509999999995</v>
      </c>
      <c r="Q604" s="3">
        <f>Table2[[#This Row],[Gross_Profit]]/Table2[[#This Row],[Sales_Amount]]</f>
        <v>-12.070367891923382</v>
      </c>
      <c r="R604" t="str">
        <f>TEXT(Table2[[#This Row],[Sale_Date]],"mmmm")</f>
        <v>December</v>
      </c>
      <c r="S604" s="4">
        <f>YEAR(Table2[[#This Row],[Sale_Date]])</f>
        <v>2023</v>
      </c>
    </row>
    <row r="605" spans="1:19" x14ac:dyDescent="0.35">
      <c r="A605">
        <v>1012</v>
      </c>
      <c r="B605" s="1">
        <v>45066</v>
      </c>
      <c r="C605" t="s">
        <v>14</v>
      </c>
      <c r="D605" t="s">
        <v>15</v>
      </c>
      <c r="E605">
        <v>5371.79</v>
      </c>
      <c r="F605">
        <v>16</v>
      </c>
      <c r="G605" t="s">
        <v>26</v>
      </c>
      <c r="H605">
        <v>3466.11</v>
      </c>
      <c r="I605">
        <v>3799.67</v>
      </c>
      <c r="J605" t="s">
        <v>17</v>
      </c>
      <c r="K605">
        <v>0.01</v>
      </c>
      <c r="L605" t="s">
        <v>18</v>
      </c>
      <c r="M605" t="s">
        <v>22</v>
      </c>
      <c r="N605" t="s">
        <v>20</v>
      </c>
      <c r="O605">
        <f>Table2[[#This Row],[Unit_Cost]]*Table2[[#This Row],[Quantity_Sold]]</f>
        <v>55457.760000000002</v>
      </c>
      <c r="P605">
        <f t="shared" si="9"/>
        <v>-50085.97</v>
      </c>
      <c r="Q605" s="3">
        <f>Table2[[#This Row],[Gross_Profit]]/Table2[[#This Row],[Sales_Amount]]</f>
        <v>-9.3238883128342689</v>
      </c>
      <c r="R605" t="str">
        <f>TEXT(Table2[[#This Row],[Sale_Date]],"mmmm")</f>
        <v>May</v>
      </c>
      <c r="S605" s="4">
        <f>YEAR(Table2[[#This Row],[Sale_Date]])</f>
        <v>2023</v>
      </c>
    </row>
    <row r="606" spans="1:19" x14ac:dyDescent="0.35">
      <c r="A606">
        <v>1055</v>
      </c>
      <c r="B606" s="1">
        <v>45113</v>
      </c>
      <c r="C606" t="s">
        <v>38</v>
      </c>
      <c r="D606" t="s">
        <v>25</v>
      </c>
      <c r="E606">
        <v>1242.4100000000001</v>
      </c>
      <c r="F606">
        <v>16</v>
      </c>
      <c r="G606" t="s">
        <v>29</v>
      </c>
      <c r="H606">
        <v>4195.38</v>
      </c>
      <c r="I606">
        <v>4461.51</v>
      </c>
      <c r="J606" t="s">
        <v>17</v>
      </c>
      <c r="K606">
        <v>0.09</v>
      </c>
      <c r="L606" t="s">
        <v>27</v>
      </c>
      <c r="M606" t="s">
        <v>19</v>
      </c>
      <c r="N606" t="s">
        <v>39</v>
      </c>
      <c r="O606">
        <f>Table2[[#This Row],[Unit_Cost]]*Table2[[#This Row],[Quantity_Sold]]</f>
        <v>67126.080000000002</v>
      </c>
      <c r="P606">
        <f t="shared" si="9"/>
        <v>-65883.67</v>
      </c>
      <c r="Q606" s="3">
        <f>Table2[[#This Row],[Gross_Profit]]/Table2[[#This Row],[Sales_Amount]]</f>
        <v>-53.028927648682796</v>
      </c>
      <c r="R606" t="str">
        <f>TEXT(Table2[[#This Row],[Sale_Date]],"mmmm")</f>
        <v>July</v>
      </c>
      <c r="S606" s="4">
        <f>YEAR(Table2[[#This Row],[Sale_Date]])</f>
        <v>2023</v>
      </c>
    </row>
    <row r="607" spans="1:19" x14ac:dyDescent="0.35">
      <c r="A607">
        <v>1013</v>
      </c>
      <c r="B607" s="1">
        <v>45219</v>
      </c>
      <c r="C607" t="s">
        <v>24</v>
      </c>
      <c r="D607" t="s">
        <v>34</v>
      </c>
      <c r="E607">
        <v>6095.82</v>
      </c>
      <c r="F607">
        <v>46</v>
      </c>
      <c r="G607" t="s">
        <v>35</v>
      </c>
      <c r="H607">
        <v>1648.8</v>
      </c>
      <c r="I607">
        <v>1670.36</v>
      </c>
      <c r="J607" t="s">
        <v>17</v>
      </c>
      <c r="K607">
        <v>0.09</v>
      </c>
      <c r="L607" t="s">
        <v>31</v>
      </c>
      <c r="M607" t="s">
        <v>22</v>
      </c>
      <c r="N607" t="s">
        <v>50</v>
      </c>
      <c r="O607">
        <f>Table2[[#This Row],[Unit_Cost]]*Table2[[#This Row],[Quantity_Sold]]</f>
        <v>75844.800000000003</v>
      </c>
      <c r="P607">
        <f t="shared" si="9"/>
        <v>-69748.98000000001</v>
      </c>
      <c r="Q607" s="3">
        <f>Table2[[#This Row],[Gross_Profit]]/Table2[[#This Row],[Sales_Amount]]</f>
        <v>-11.442099668297294</v>
      </c>
      <c r="R607" t="str">
        <f>TEXT(Table2[[#This Row],[Sale_Date]],"mmmm")</f>
        <v>October</v>
      </c>
      <c r="S607" s="4">
        <f>YEAR(Table2[[#This Row],[Sale_Date]])</f>
        <v>2023</v>
      </c>
    </row>
    <row r="608" spans="1:19" x14ac:dyDescent="0.35">
      <c r="A608">
        <v>1023</v>
      </c>
      <c r="B608" s="1">
        <v>44987</v>
      </c>
      <c r="C608" t="s">
        <v>24</v>
      </c>
      <c r="D608" t="s">
        <v>21</v>
      </c>
      <c r="E608">
        <v>1260.32</v>
      </c>
      <c r="F608">
        <v>39</v>
      </c>
      <c r="G608" t="s">
        <v>26</v>
      </c>
      <c r="H608">
        <v>4450.6099999999997</v>
      </c>
      <c r="I608">
        <v>4663.3399999999901</v>
      </c>
      <c r="J608" t="s">
        <v>30</v>
      </c>
      <c r="K608">
        <v>0.24</v>
      </c>
      <c r="L608" t="s">
        <v>18</v>
      </c>
      <c r="M608" t="s">
        <v>22</v>
      </c>
      <c r="N608" t="s">
        <v>47</v>
      </c>
      <c r="O608">
        <f>Table2[[#This Row],[Unit_Cost]]*Table2[[#This Row],[Quantity_Sold]]</f>
        <v>173573.78999999998</v>
      </c>
      <c r="P608">
        <f t="shared" si="9"/>
        <v>-172313.46999999997</v>
      </c>
      <c r="Q608" s="3">
        <f>Table2[[#This Row],[Gross_Profit]]/Table2[[#This Row],[Sales_Amount]]</f>
        <v>-136.72199917481274</v>
      </c>
      <c r="R608" t="str">
        <f>TEXT(Table2[[#This Row],[Sale_Date]],"mmmm")</f>
        <v>March</v>
      </c>
      <c r="S608" s="4">
        <f>YEAR(Table2[[#This Row],[Sale_Date]])</f>
        <v>2023</v>
      </c>
    </row>
    <row r="609" spans="1:19" x14ac:dyDescent="0.35">
      <c r="A609">
        <v>1089</v>
      </c>
      <c r="B609" s="1">
        <v>45124</v>
      </c>
      <c r="C609" t="s">
        <v>33</v>
      </c>
      <c r="D609" t="s">
        <v>15</v>
      </c>
      <c r="E609">
        <v>3438.35</v>
      </c>
      <c r="F609">
        <v>31</v>
      </c>
      <c r="G609" t="s">
        <v>29</v>
      </c>
      <c r="H609">
        <v>845.14</v>
      </c>
      <c r="I609">
        <v>1001.77</v>
      </c>
      <c r="J609" t="s">
        <v>30</v>
      </c>
      <c r="K609">
        <v>0.03</v>
      </c>
      <c r="L609" t="s">
        <v>18</v>
      </c>
      <c r="M609" t="s">
        <v>19</v>
      </c>
      <c r="N609" t="s">
        <v>53</v>
      </c>
      <c r="O609">
        <f>Table2[[#This Row],[Unit_Cost]]*Table2[[#This Row],[Quantity_Sold]]</f>
        <v>26199.34</v>
      </c>
      <c r="P609">
        <f t="shared" si="9"/>
        <v>-22760.99</v>
      </c>
      <c r="Q609" s="3">
        <f>Table2[[#This Row],[Gross_Profit]]/Table2[[#This Row],[Sales_Amount]]</f>
        <v>-6.6197420274259464</v>
      </c>
      <c r="R609" t="str">
        <f>TEXT(Table2[[#This Row],[Sale_Date]],"mmmm")</f>
        <v>July</v>
      </c>
      <c r="S609" s="4">
        <f>YEAR(Table2[[#This Row],[Sale_Date]])</f>
        <v>2023</v>
      </c>
    </row>
    <row r="610" spans="1:19" x14ac:dyDescent="0.35">
      <c r="A610">
        <v>1099</v>
      </c>
      <c r="B610" s="1">
        <v>45221</v>
      </c>
      <c r="C610" t="s">
        <v>14</v>
      </c>
      <c r="D610" t="s">
        <v>21</v>
      </c>
      <c r="E610">
        <v>1514.14</v>
      </c>
      <c r="F610">
        <v>43</v>
      </c>
      <c r="G610" t="s">
        <v>29</v>
      </c>
      <c r="H610">
        <v>906.47</v>
      </c>
      <c r="I610">
        <v>1283.04</v>
      </c>
      <c r="J610" t="s">
        <v>30</v>
      </c>
      <c r="K610">
        <v>0.24</v>
      </c>
      <c r="L610" t="s">
        <v>18</v>
      </c>
      <c r="M610" t="s">
        <v>19</v>
      </c>
      <c r="N610" t="s">
        <v>23</v>
      </c>
      <c r="O610">
        <f>Table2[[#This Row],[Unit_Cost]]*Table2[[#This Row],[Quantity_Sold]]</f>
        <v>38978.21</v>
      </c>
      <c r="P610">
        <f t="shared" si="9"/>
        <v>-37464.07</v>
      </c>
      <c r="Q610" s="3">
        <f>Table2[[#This Row],[Gross_Profit]]/Table2[[#This Row],[Sales_Amount]]</f>
        <v>-24.742804496281718</v>
      </c>
      <c r="R610" t="str">
        <f>TEXT(Table2[[#This Row],[Sale_Date]],"mmmm")</f>
        <v>October</v>
      </c>
      <c r="S610" s="4">
        <f>YEAR(Table2[[#This Row],[Sale_Date]])</f>
        <v>2023</v>
      </c>
    </row>
    <row r="611" spans="1:19" x14ac:dyDescent="0.35">
      <c r="A611">
        <v>1030</v>
      </c>
      <c r="B611" s="1">
        <v>45245</v>
      </c>
      <c r="C611" t="s">
        <v>38</v>
      </c>
      <c r="D611" t="s">
        <v>34</v>
      </c>
      <c r="E611">
        <v>6951.53</v>
      </c>
      <c r="F611">
        <v>24</v>
      </c>
      <c r="G611" t="s">
        <v>29</v>
      </c>
      <c r="H611">
        <v>1370.52</v>
      </c>
      <c r="I611">
        <v>1482.58</v>
      </c>
      <c r="J611" t="s">
        <v>17</v>
      </c>
      <c r="K611">
        <v>0.2</v>
      </c>
      <c r="L611" t="s">
        <v>31</v>
      </c>
      <c r="M611" t="s">
        <v>22</v>
      </c>
      <c r="N611" t="s">
        <v>48</v>
      </c>
      <c r="O611">
        <f>Table2[[#This Row],[Unit_Cost]]*Table2[[#This Row],[Quantity_Sold]]</f>
        <v>32892.479999999996</v>
      </c>
      <c r="P611">
        <f t="shared" si="9"/>
        <v>-25940.949999999997</v>
      </c>
      <c r="Q611" s="3">
        <f>Table2[[#This Row],[Gross_Profit]]/Table2[[#This Row],[Sales_Amount]]</f>
        <v>-3.7316892827909824</v>
      </c>
      <c r="R611" t="str">
        <f>TEXT(Table2[[#This Row],[Sale_Date]],"mmmm")</f>
        <v>November</v>
      </c>
      <c r="S611" s="4">
        <f>YEAR(Table2[[#This Row],[Sale_Date]])</f>
        <v>2023</v>
      </c>
    </row>
    <row r="612" spans="1:19" x14ac:dyDescent="0.35">
      <c r="A612">
        <v>1017</v>
      </c>
      <c r="B612" s="1">
        <v>45228</v>
      </c>
      <c r="C612" t="s">
        <v>38</v>
      </c>
      <c r="D612" t="s">
        <v>34</v>
      </c>
      <c r="E612">
        <v>2141.9</v>
      </c>
      <c r="F612">
        <v>1</v>
      </c>
      <c r="G612" t="s">
        <v>16</v>
      </c>
      <c r="H612">
        <v>641.67999999999995</v>
      </c>
      <c r="I612">
        <v>752.24</v>
      </c>
      <c r="J612" t="s">
        <v>30</v>
      </c>
      <c r="K612">
        <v>0.22</v>
      </c>
      <c r="L612" t="s">
        <v>27</v>
      </c>
      <c r="M612" t="s">
        <v>19</v>
      </c>
      <c r="N612" t="s">
        <v>48</v>
      </c>
      <c r="O612">
        <f>Table2[[#This Row],[Unit_Cost]]*Table2[[#This Row],[Quantity_Sold]]</f>
        <v>641.67999999999995</v>
      </c>
      <c r="P612">
        <f t="shared" si="9"/>
        <v>1500.2200000000003</v>
      </c>
      <c r="Q612" s="3">
        <f>Table2[[#This Row],[Gross_Profit]]/Table2[[#This Row],[Sales_Amount]]</f>
        <v>0.70041551893178966</v>
      </c>
      <c r="R612" t="str">
        <f>TEXT(Table2[[#This Row],[Sale_Date]],"mmmm")</f>
        <v>October</v>
      </c>
      <c r="S612" s="4">
        <f>YEAR(Table2[[#This Row],[Sale_Date]])</f>
        <v>2023</v>
      </c>
    </row>
    <row r="613" spans="1:19" x14ac:dyDescent="0.35">
      <c r="A613">
        <v>1062</v>
      </c>
      <c r="B613" s="1">
        <v>45270</v>
      </c>
      <c r="C613" t="s">
        <v>24</v>
      </c>
      <c r="D613" t="s">
        <v>21</v>
      </c>
      <c r="E613">
        <v>3979.41</v>
      </c>
      <c r="F613">
        <v>11</v>
      </c>
      <c r="G613" t="s">
        <v>35</v>
      </c>
      <c r="H613">
        <v>1190.08</v>
      </c>
      <c r="I613">
        <v>1292.9399999999901</v>
      </c>
      <c r="J613" t="s">
        <v>17</v>
      </c>
      <c r="K613">
        <v>0.13</v>
      </c>
      <c r="L613" t="s">
        <v>18</v>
      </c>
      <c r="M613" t="s">
        <v>22</v>
      </c>
      <c r="N613" t="s">
        <v>47</v>
      </c>
      <c r="O613">
        <f>Table2[[#This Row],[Unit_Cost]]*Table2[[#This Row],[Quantity_Sold]]</f>
        <v>13090.88</v>
      </c>
      <c r="P613">
        <f t="shared" si="9"/>
        <v>-9111.4699999999993</v>
      </c>
      <c r="Q613" s="3">
        <f>Table2[[#This Row],[Gross_Profit]]/Table2[[#This Row],[Sales_Amount]]</f>
        <v>-2.2896534913467073</v>
      </c>
      <c r="R613" t="str">
        <f>TEXT(Table2[[#This Row],[Sale_Date]],"mmmm")</f>
        <v>December</v>
      </c>
      <c r="S613" s="4">
        <f>YEAR(Table2[[#This Row],[Sale_Date]])</f>
        <v>2023</v>
      </c>
    </row>
    <row r="614" spans="1:19" x14ac:dyDescent="0.35">
      <c r="A614">
        <v>1084</v>
      </c>
      <c r="B614" s="1">
        <v>44937</v>
      </c>
      <c r="C614" t="s">
        <v>14</v>
      </c>
      <c r="D614" t="s">
        <v>34</v>
      </c>
      <c r="E614">
        <v>8967.18</v>
      </c>
      <c r="F614">
        <v>21</v>
      </c>
      <c r="G614" t="s">
        <v>29</v>
      </c>
      <c r="H614">
        <v>576.74</v>
      </c>
      <c r="I614">
        <v>648.29</v>
      </c>
      <c r="J614" t="s">
        <v>17</v>
      </c>
      <c r="K614">
        <v>0.2</v>
      </c>
      <c r="L614" t="s">
        <v>27</v>
      </c>
      <c r="M614" t="s">
        <v>19</v>
      </c>
      <c r="N614" t="s">
        <v>46</v>
      </c>
      <c r="O614">
        <f>Table2[[#This Row],[Unit_Cost]]*Table2[[#This Row],[Quantity_Sold]]</f>
        <v>12111.54</v>
      </c>
      <c r="P614">
        <f t="shared" si="9"/>
        <v>-3144.3600000000006</v>
      </c>
      <c r="Q614" s="3">
        <f>Table2[[#This Row],[Gross_Profit]]/Table2[[#This Row],[Sales_Amount]]</f>
        <v>-0.35065204445544756</v>
      </c>
      <c r="R614" t="str">
        <f>TEXT(Table2[[#This Row],[Sale_Date]],"mmmm")</f>
        <v>January</v>
      </c>
      <c r="S614" s="4">
        <f>YEAR(Table2[[#This Row],[Sale_Date]])</f>
        <v>2023</v>
      </c>
    </row>
    <row r="615" spans="1:19" x14ac:dyDescent="0.35">
      <c r="A615">
        <v>1089</v>
      </c>
      <c r="B615" s="1">
        <v>44988</v>
      </c>
      <c r="C615" t="s">
        <v>33</v>
      </c>
      <c r="D615" t="s">
        <v>15</v>
      </c>
      <c r="E615">
        <v>2122.73</v>
      </c>
      <c r="F615">
        <v>4</v>
      </c>
      <c r="G615" t="s">
        <v>16</v>
      </c>
      <c r="H615">
        <v>4117.67</v>
      </c>
      <c r="I615">
        <v>4280.0600000000004</v>
      </c>
      <c r="J615" t="s">
        <v>17</v>
      </c>
      <c r="K615">
        <v>0.18</v>
      </c>
      <c r="L615" t="s">
        <v>27</v>
      </c>
      <c r="M615" t="s">
        <v>19</v>
      </c>
      <c r="N615" t="s">
        <v>53</v>
      </c>
      <c r="O615">
        <f>Table2[[#This Row],[Unit_Cost]]*Table2[[#This Row],[Quantity_Sold]]</f>
        <v>16470.68</v>
      </c>
      <c r="P615">
        <f t="shared" si="9"/>
        <v>-14347.95</v>
      </c>
      <c r="Q615" s="3">
        <f>Table2[[#This Row],[Gross_Profit]]/Table2[[#This Row],[Sales_Amount]]</f>
        <v>-6.7591968832588227</v>
      </c>
      <c r="R615" t="str">
        <f>TEXT(Table2[[#This Row],[Sale_Date]],"mmmm")</f>
        <v>March</v>
      </c>
      <c r="S615" s="4">
        <f>YEAR(Table2[[#This Row],[Sale_Date]])</f>
        <v>2023</v>
      </c>
    </row>
    <row r="616" spans="1:19" x14ac:dyDescent="0.35">
      <c r="A616">
        <v>1086</v>
      </c>
      <c r="B616" s="1">
        <v>45259</v>
      </c>
      <c r="C616" t="s">
        <v>14</v>
      </c>
      <c r="D616" t="s">
        <v>21</v>
      </c>
      <c r="E616">
        <v>5127.2700000000004</v>
      </c>
      <c r="F616">
        <v>7</v>
      </c>
      <c r="G616" t="s">
        <v>26</v>
      </c>
      <c r="H616">
        <v>737.9</v>
      </c>
      <c r="I616">
        <v>1182</v>
      </c>
      <c r="J616" t="s">
        <v>30</v>
      </c>
      <c r="K616">
        <v>0.23</v>
      </c>
      <c r="L616" t="s">
        <v>31</v>
      </c>
      <c r="M616" t="s">
        <v>22</v>
      </c>
      <c r="N616" t="s">
        <v>23</v>
      </c>
      <c r="O616">
        <f>Table2[[#This Row],[Unit_Cost]]*Table2[[#This Row],[Quantity_Sold]]</f>
        <v>5165.3</v>
      </c>
      <c r="P616">
        <f t="shared" si="9"/>
        <v>-38.029999999999745</v>
      </c>
      <c r="Q616" s="3">
        <f>Table2[[#This Row],[Gross_Profit]]/Table2[[#This Row],[Sales_Amount]]</f>
        <v>-7.417202526880726E-3</v>
      </c>
      <c r="R616" t="str">
        <f>TEXT(Table2[[#This Row],[Sale_Date]],"mmmm")</f>
        <v>November</v>
      </c>
      <c r="S616" s="4">
        <f>YEAR(Table2[[#This Row],[Sale_Date]])</f>
        <v>2023</v>
      </c>
    </row>
    <row r="617" spans="1:19" x14ac:dyDescent="0.35">
      <c r="A617">
        <v>1013</v>
      </c>
      <c r="B617" s="1">
        <v>45152</v>
      </c>
      <c r="C617" t="s">
        <v>42</v>
      </c>
      <c r="D617" t="s">
        <v>34</v>
      </c>
      <c r="E617">
        <v>4250.79</v>
      </c>
      <c r="F617">
        <v>26</v>
      </c>
      <c r="G617" t="s">
        <v>29</v>
      </c>
      <c r="H617">
        <v>3749.12</v>
      </c>
      <c r="I617">
        <v>4138.83</v>
      </c>
      <c r="J617" t="s">
        <v>30</v>
      </c>
      <c r="K617">
        <v>0.13</v>
      </c>
      <c r="L617" t="s">
        <v>31</v>
      </c>
      <c r="M617" t="s">
        <v>19</v>
      </c>
      <c r="N617" t="s">
        <v>52</v>
      </c>
      <c r="O617">
        <f>Table2[[#This Row],[Unit_Cost]]*Table2[[#This Row],[Quantity_Sold]]</f>
        <v>97477.119999999995</v>
      </c>
      <c r="P617">
        <f t="shared" si="9"/>
        <v>-93226.33</v>
      </c>
      <c r="Q617" s="3">
        <f>Table2[[#This Row],[Gross_Profit]]/Table2[[#This Row],[Sales_Amount]]</f>
        <v>-21.931530374353944</v>
      </c>
      <c r="R617" t="str">
        <f>TEXT(Table2[[#This Row],[Sale_Date]],"mmmm")</f>
        <v>August</v>
      </c>
      <c r="S617" s="4">
        <f>YEAR(Table2[[#This Row],[Sale_Date]])</f>
        <v>2023</v>
      </c>
    </row>
    <row r="618" spans="1:19" x14ac:dyDescent="0.35">
      <c r="A618">
        <v>1059</v>
      </c>
      <c r="B618" s="1">
        <v>45079</v>
      </c>
      <c r="C618" t="s">
        <v>14</v>
      </c>
      <c r="D618" t="s">
        <v>21</v>
      </c>
      <c r="E618">
        <v>279.43</v>
      </c>
      <c r="F618">
        <v>47</v>
      </c>
      <c r="G618" t="s">
        <v>16</v>
      </c>
      <c r="H618">
        <v>287.17</v>
      </c>
      <c r="I618">
        <v>657.44</v>
      </c>
      <c r="J618" t="s">
        <v>17</v>
      </c>
      <c r="K618">
        <v>0.14000000000000001</v>
      </c>
      <c r="L618" t="s">
        <v>31</v>
      </c>
      <c r="M618" t="s">
        <v>22</v>
      </c>
      <c r="N618" t="s">
        <v>23</v>
      </c>
      <c r="O618">
        <f>Table2[[#This Row],[Unit_Cost]]*Table2[[#This Row],[Quantity_Sold]]</f>
        <v>13496.990000000002</v>
      </c>
      <c r="P618">
        <f t="shared" si="9"/>
        <v>-13217.560000000001</v>
      </c>
      <c r="Q618" s="3">
        <f>Table2[[#This Row],[Gross_Profit]]/Table2[[#This Row],[Sales_Amount]]</f>
        <v>-47.301864509895147</v>
      </c>
      <c r="R618" t="str">
        <f>TEXT(Table2[[#This Row],[Sale_Date]],"mmmm")</f>
        <v>June</v>
      </c>
      <c r="S618" s="4">
        <f>YEAR(Table2[[#This Row],[Sale_Date]])</f>
        <v>2023</v>
      </c>
    </row>
    <row r="619" spans="1:19" x14ac:dyDescent="0.35">
      <c r="A619">
        <v>1019</v>
      </c>
      <c r="B619" s="1">
        <v>45125</v>
      </c>
      <c r="C619" t="s">
        <v>42</v>
      </c>
      <c r="D619" t="s">
        <v>15</v>
      </c>
      <c r="E619">
        <v>7948.31</v>
      </c>
      <c r="F619">
        <v>12</v>
      </c>
      <c r="G619" t="s">
        <v>29</v>
      </c>
      <c r="H619">
        <v>4745.18</v>
      </c>
      <c r="I619">
        <v>5145.88</v>
      </c>
      <c r="J619" t="s">
        <v>17</v>
      </c>
      <c r="K619">
        <v>0.19</v>
      </c>
      <c r="L619" t="s">
        <v>31</v>
      </c>
      <c r="M619" t="s">
        <v>19</v>
      </c>
      <c r="N619" t="s">
        <v>49</v>
      </c>
      <c r="O619">
        <f>Table2[[#This Row],[Unit_Cost]]*Table2[[#This Row],[Quantity_Sold]]</f>
        <v>56942.16</v>
      </c>
      <c r="P619">
        <f t="shared" si="9"/>
        <v>-48993.850000000006</v>
      </c>
      <c r="Q619" s="3">
        <f>Table2[[#This Row],[Gross_Profit]]/Table2[[#This Row],[Sales_Amount]]</f>
        <v>-6.1640587747584084</v>
      </c>
      <c r="R619" t="str">
        <f>TEXT(Table2[[#This Row],[Sale_Date]],"mmmm")</f>
        <v>July</v>
      </c>
      <c r="S619" s="4">
        <f>YEAR(Table2[[#This Row],[Sale_Date]])</f>
        <v>2023</v>
      </c>
    </row>
    <row r="620" spans="1:19" x14ac:dyDescent="0.35">
      <c r="A620">
        <v>1049</v>
      </c>
      <c r="B620" s="1">
        <v>44978</v>
      </c>
      <c r="C620" t="s">
        <v>42</v>
      </c>
      <c r="D620" t="s">
        <v>34</v>
      </c>
      <c r="E620">
        <v>783.55</v>
      </c>
      <c r="F620">
        <v>31</v>
      </c>
      <c r="G620" t="s">
        <v>35</v>
      </c>
      <c r="H620">
        <v>3570.24</v>
      </c>
      <c r="I620">
        <v>3712.25</v>
      </c>
      <c r="J620" t="s">
        <v>30</v>
      </c>
      <c r="K620">
        <v>0.03</v>
      </c>
      <c r="L620" t="s">
        <v>31</v>
      </c>
      <c r="M620" t="s">
        <v>19</v>
      </c>
      <c r="N620" t="s">
        <v>52</v>
      </c>
      <c r="O620">
        <f>Table2[[#This Row],[Unit_Cost]]*Table2[[#This Row],[Quantity_Sold]]</f>
        <v>110677.43999999999</v>
      </c>
      <c r="P620">
        <f t="shared" si="9"/>
        <v>-109893.88999999998</v>
      </c>
      <c r="Q620" s="3">
        <f>Table2[[#This Row],[Gross_Profit]]/Table2[[#This Row],[Sales_Amount]]</f>
        <v>-140.2512794333482</v>
      </c>
      <c r="R620" t="str">
        <f>TEXT(Table2[[#This Row],[Sale_Date]],"mmmm")</f>
        <v>February</v>
      </c>
      <c r="S620" s="4">
        <f>YEAR(Table2[[#This Row],[Sale_Date]])</f>
        <v>2023</v>
      </c>
    </row>
    <row r="621" spans="1:19" x14ac:dyDescent="0.35">
      <c r="A621">
        <v>1100</v>
      </c>
      <c r="B621" s="1">
        <v>45186</v>
      </c>
      <c r="C621" t="s">
        <v>33</v>
      </c>
      <c r="D621" t="s">
        <v>15</v>
      </c>
      <c r="E621">
        <v>4795.12</v>
      </c>
      <c r="F621">
        <v>17</v>
      </c>
      <c r="G621" t="s">
        <v>35</v>
      </c>
      <c r="H621">
        <v>83.64</v>
      </c>
      <c r="I621">
        <v>528.49</v>
      </c>
      <c r="J621" t="s">
        <v>30</v>
      </c>
      <c r="K621">
        <v>0.13</v>
      </c>
      <c r="L621" t="s">
        <v>31</v>
      </c>
      <c r="M621" t="s">
        <v>19</v>
      </c>
      <c r="N621" t="s">
        <v>53</v>
      </c>
      <c r="O621">
        <f>Table2[[#This Row],[Unit_Cost]]*Table2[[#This Row],[Quantity_Sold]]</f>
        <v>1421.88</v>
      </c>
      <c r="P621">
        <f t="shared" si="9"/>
        <v>3373.24</v>
      </c>
      <c r="Q621" s="3">
        <f>Table2[[#This Row],[Gross_Profit]]/Table2[[#This Row],[Sales_Amount]]</f>
        <v>0.70347353142361402</v>
      </c>
      <c r="R621" t="str">
        <f>TEXT(Table2[[#This Row],[Sale_Date]],"mmmm")</f>
        <v>September</v>
      </c>
      <c r="S621" s="4">
        <f>YEAR(Table2[[#This Row],[Sale_Date]])</f>
        <v>2023</v>
      </c>
    </row>
    <row r="622" spans="1:19" x14ac:dyDescent="0.35">
      <c r="A622">
        <v>1012</v>
      </c>
      <c r="B622" s="1">
        <v>44985</v>
      </c>
      <c r="C622" t="s">
        <v>24</v>
      </c>
      <c r="D622" t="s">
        <v>34</v>
      </c>
      <c r="E622">
        <v>5650.72</v>
      </c>
      <c r="F622">
        <v>33</v>
      </c>
      <c r="G622" t="s">
        <v>26</v>
      </c>
      <c r="H622">
        <v>3831.09</v>
      </c>
      <c r="I622">
        <v>3908.37</v>
      </c>
      <c r="J622" t="s">
        <v>30</v>
      </c>
      <c r="K622">
        <v>0.28999999999999998</v>
      </c>
      <c r="L622" t="s">
        <v>18</v>
      </c>
      <c r="M622" t="s">
        <v>22</v>
      </c>
      <c r="N622" t="s">
        <v>50</v>
      </c>
      <c r="O622">
        <f>Table2[[#This Row],[Unit_Cost]]*Table2[[#This Row],[Quantity_Sold]]</f>
        <v>126425.97</v>
      </c>
      <c r="P622">
        <f t="shared" si="9"/>
        <v>-120775.25</v>
      </c>
      <c r="Q622" s="3">
        <f>Table2[[#This Row],[Gross_Profit]]/Table2[[#This Row],[Sales_Amount]]</f>
        <v>-21.373426749157627</v>
      </c>
      <c r="R622" t="str">
        <f>TEXT(Table2[[#This Row],[Sale_Date]],"mmmm")</f>
        <v>February</v>
      </c>
      <c r="S622" s="4">
        <f>YEAR(Table2[[#This Row],[Sale_Date]])</f>
        <v>2023</v>
      </c>
    </row>
    <row r="623" spans="1:19" x14ac:dyDescent="0.35">
      <c r="A623">
        <v>1061</v>
      </c>
      <c r="B623" s="1">
        <v>44998</v>
      </c>
      <c r="C623" t="s">
        <v>14</v>
      </c>
      <c r="D623" t="s">
        <v>25</v>
      </c>
      <c r="E623">
        <v>6321.42</v>
      </c>
      <c r="F623">
        <v>11</v>
      </c>
      <c r="G623" t="s">
        <v>29</v>
      </c>
      <c r="H623">
        <v>2594.71</v>
      </c>
      <c r="I623">
        <v>2769.52</v>
      </c>
      <c r="J623" t="s">
        <v>17</v>
      </c>
      <c r="K623">
        <v>0.01</v>
      </c>
      <c r="L623" t="s">
        <v>27</v>
      </c>
      <c r="M623" t="s">
        <v>22</v>
      </c>
      <c r="N623" t="s">
        <v>32</v>
      </c>
      <c r="O623">
        <f>Table2[[#This Row],[Unit_Cost]]*Table2[[#This Row],[Quantity_Sold]]</f>
        <v>28541.81</v>
      </c>
      <c r="P623">
        <f t="shared" si="9"/>
        <v>-22220.39</v>
      </c>
      <c r="Q623" s="3">
        <f>Table2[[#This Row],[Gross_Profit]]/Table2[[#This Row],[Sales_Amount]]</f>
        <v>-3.5150947097329395</v>
      </c>
      <c r="R623" t="str">
        <f>TEXT(Table2[[#This Row],[Sale_Date]],"mmmm")</f>
        <v>March</v>
      </c>
      <c r="S623" s="4">
        <f>YEAR(Table2[[#This Row],[Sale_Date]])</f>
        <v>2023</v>
      </c>
    </row>
    <row r="624" spans="1:19" x14ac:dyDescent="0.35">
      <c r="A624">
        <v>1019</v>
      </c>
      <c r="B624" s="1">
        <v>45074</v>
      </c>
      <c r="C624" t="s">
        <v>42</v>
      </c>
      <c r="D624" t="s">
        <v>34</v>
      </c>
      <c r="E624">
        <v>6917.45</v>
      </c>
      <c r="F624">
        <v>28</v>
      </c>
      <c r="G624" t="s">
        <v>16</v>
      </c>
      <c r="H624">
        <v>3907.86</v>
      </c>
      <c r="I624">
        <v>4205.37</v>
      </c>
      <c r="J624" t="s">
        <v>30</v>
      </c>
      <c r="K624">
        <v>0.09</v>
      </c>
      <c r="L624" t="s">
        <v>31</v>
      </c>
      <c r="M624" t="s">
        <v>19</v>
      </c>
      <c r="N624" t="s">
        <v>52</v>
      </c>
      <c r="O624">
        <f>Table2[[#This Row],[Unit_Cost]]*Table2[[#This Row],[Quantity_Sold]]</f>
        <v>109420.08</v>
      </c>
      <c r="P624">
        <f t="shared" si="9"/>
        <v>-102502.63</v>
      </c>
      <c r="Q624" s="3">
        <f>Table2[[#This Row],[Gross_Profit]]/Table2[[#This Row],[Sales_Amount]]</f>
        <v>-14.817979168624277</v>
      </c>
      <c r="R624" t="str">
        <f>TEXT(Table2[[#This Row],[Sale_Date]],"mmmm")</f>
        <v>May</v>
      </c>
      <c r="S624" s="4">
        <f>YEAR(Table2[[#This Row],[Sale_Date]])</f>
        <v>2023</v>
      </c>
    </row>
    <row r="625" spans="1:19" x14ac:dyDescent="0.35">
      <c r="A625">
        <v>1076</v>
      </c>
      <c r="B625" s="1">
        <v>45275</v>
      </c>
      <c r="C625" t="s">
        <v>14</v>
      </c>
      <c r="D625" t="s">
        <v>21</v>
      </c>
      <c r="E625">
        <v>2607.4</v>
      </c>
      <c r="F625">
        <v>32</v>
      </c>
      <c r="G625" t="s">
        <v>26</v>
      </c>
      <c r="H625">
        <v>2636.36</v>
      </c>
      <c r="I625">
        <v>2696.78</v>
      </c>
      <c r="J625" t="s">
        <v>30</v>
      </c>
      <c r="K625">
        <v>0.09</v>
      </c>
      <c r="L625" t="s">
        <v>18</v>
      </c>
      <c r="M625" t="s">
        <v>22</v>
      </c>
      <c r="N625" t="s">
        <v>23</v>
      </c>
      <c r="O625">
        <f>Table2[[#This Row],[Unit_Cost]]*Table2[[#This Row],[Quantity_Sold]]</f>
        <v>84363.520000000004</v>
      </c>
      <c r="P625">
        <f t="shared" si="9"/>
        <v>-81756.12000000001</v>
      </c>
      <c r="Q625" s="3">
        <f>Table2[[#This Row],[Gross_Profit]]/Table2[[#This Row],[Sales_Amount]]</f>
        <v>-31.355419191531798</v>
      </c>
      <c r="R625" t="str">
        <f>TEXT(Table2[[#This Row],[Sale_Date]],"mmmm")</f>
        <v>December</v>
      </c>
      <c r="S625" s="4">
        <f>YEAR(Table2[[#This Row],[Sale_Date]])</f>
        <v>2023</v>
      </c>
    </row>
    <row r="626" spans="1:19" x14ac:dyDescent="0.35">
      <c r="A626">
        <v>1009</v>
      </c>
      <c r="B626" s="1">
        <v>44989</v>
      </c>
      <c r="C626" t="s">
        <v>24</v>
      </c>
      <c r="D626" t="s">
        <v>34</v>
      </c>
      <c r="E626">
        <v>198.79</v>
      </c>
      <c r="F626">
        <v>1</v>
      </c>
      <c r="G626" t="s">
        <v>29</v>
      </c>
      <c r="H626">
        <v>3223.07</v>
      </c>
      <c r="I626">
        <v>3590.83</v>
      </c>
      <c r="J626" t="s">
        <v>30</v>
      </c>
      <c r="K626">
        <v>0.19</v>
      </c>
      <c r="L626" t="s">
        <v>27</v>
      </c>
      <c r="M626" t="s">
        <v>22</v>
      </c>
      <c r="N626" t="s">
        <v>50</v>
      </c>
      <c r="O626">
        <f>Table2[[#This Row],[Unit_Cost]]*Table2[[#This Row],[Quantity_Sold]]</f>
        <v>3223.07</v>
      </c>
      <c r="P626">
        <f t="shared" si="9"/>
        <v>-3024.28</v>
      </c>
      <c r="Q626" s="3">
        <f>Table2[[#This Row],[Gross_Profit]]/Table2[[#This Row],[Sales_Amount]]</f>
        <v>-15.213441319985916</v>
      </c>
      <c r="R626" t="str">
        <f>TEXT(Table2[[#This Row],[Sale_Date]],"mmmm")</f>
        <v>March</v>
      </c>
      <c r="S626" s="4">
        <f>YEAR(Table2[[#This Row],[Sale_Date]])</f>
        <v>2023</v>
      </c>
    </row>
    <row r="627" spans="1:19" x14ac:dyDescent="0.35">
      <c r="A627">
        <v>1071</v>
      </c>
      <c r="B627" s="1">
        <v>45236</v>
      </c>
      <c r="C627" t="s">
        <v>24</v>
      </c>
      <c r="D627" t="s">
        <v>15</v>
      </c>
      <c r="E627">
        <v>7262.09</v>
      </c>
      <c r="F627">
        <v>47</v>
      </c>
      <c r="G627" t="s">
        <v>26</v>
      </c>
      <c r="H627">
        <v>3942.34</v>
      </c>
      <c r="I627">
        <v>4142.09</v>
      </c>
      <c r="J627" t="s">
        <v>17</v>
      </c>
      <c r="K627">
        <v>0.03</v>
      </c>
      <c r="L627" t="s">
        <v>31</v>
      </c>
      <c r="M627" t="s">
        <v>22</v>
      </c>
      <c r="N627" t="s">
        <v>45</v>
      </c>
      <c r="O627">
        <f>Table2[[#This Row],[Unit_Cost]]*Table2[[#This Row],[Quantity_Sold]]</f>
        <v>185289.98</v>
      </c>
      <c r="P627">
        <f t="shared" si="9"/>
        <v>-178027.89</v>
      </c>
      <c r="Q627" s="3">
        <f>Table2[[#This Row],[Gross_Profit]]/Table2[[#This Row],[Sales_Amount]]</f>
        <v>-24.514690674447717</v>
      </c>
      <c r="R627" t="str">
        <f>TEXT(Table2[[#This Row],[Sale_Date]],"mmmm")</f>
        <v>November</v>
      </c>
      <c r="S627" s="4">
        <f>YEAR(Table2[[#This Row],[Sale_Date]])</f>
        <v>2023</v>
      </c>
    </row>
    <row r="628" spans="1:19" x14ac:dyDescent="0.35">
      <c r="A628">
        <v>1028</v>
      </c>
      <c r="B628" s="1">
        <v>45169</v>
      </c>
      <c r="C628" t="s">
        <v>38</v>
      </c>
      <c r="D628" t="s">
        <v>15</v>
      </c>
      <c r="E628">
        <v>5403</v>
      </c>
      <c r="F628">
        <v>28</v>
      </c>
      <c r="G628" t="s">
        <v>16</v>
      </c>
      <c r="H628">
        <v>2055.2800000000002</v>
      </c>
      <c r="I628">
        <v>2449.64</v>
      </c>
      <c r="J628" t="s">
        <v>30</v>
      </c>
      <c r="K628">
        <v>0.19</v>
      </c>
      <c r="L628" t="s">
        <v>31</v>
      </c>
      <c r="M628" t="s">
        <v>19</v>
      </c>
      <c r="N628" t="s">
        <v>40</v>
      </c>
      <c r="O628">
        <f>Table2[[#This Row],[Unit_Cost]]*Table2[[#This Row],[Quantity_Sold]]</f>
        <v>57547.840000000004</v>
      </c>
      <c r="P628">
        <f t="shared" si="9"/>
        <v>-52144.840000000004</v>
      </c>
      <c r="Q628" s="3">
        <f>Table2[[#This Row],[Gross_Profit]]/Table2[[#This Row],[Sales_Amount]]</f>
        <v>-9.6510901351101239</v>
      </c>
      <c r="R628" t="str">
        <f>TEXT(Table2[[#This Row],[Sale_Date]],"mmmm")</f>
        <v>August</v>
      </c>
      <c r="S628" s="4">
        <f>YEAR(Table2[[#This Row],[Sale_Date]])</f>
        <v>2023</v>
      </c>
    </row>
    <row r="629" spans="1:19" x14ac:dyDescent="0.35">
      <c r="A629">
        <v>1078</v>
      </c>
      <c r="B629" s="1">
        <v>45292</v>
      </c>
      <c r="C629" t="s">
        <v>24</v>
      </c>
      <c r="D629" t="s">
        <v>34</v>
      </c>
      <c r="E629">
        <v>8377.57</v>
      </c>
      <c r="F629">
        <v>42</v>
      </c>
      <c r="G629" t="s">
        <v>26</v>
      </c>
      <c r="H629">
        <v>63.41</v>
      </c>
      <c r="I629">
        <v>314.93</v>
      </c>
      <c r="J629" t="s">
        <v>17</v>
      </c>
      <c r="K629">
        <v>0.03</v>
      </c>
      <c r="L629" t="s">
        <v>18</v>
      </c>
      <c r="M629" t="s">
        <v>22</v>
      </c>
      <c r="N629" t="s">
        <v>50</v>
      </c>
      <c r="O629">
        <f>Table2[[#This Row],[Unit_Cost]]*Table2[[#This Row],[Quantity_Sold]]</f>
        <v>2663.22</v>
      </c>
      <c r="P629">
        <f t="shared" si="9"/>
        <v>5714.35</v>
      </c>
      <c r="Q629" s="3">
        <f>Table2[[#This Row],[Gross_Profit]]/Table2[[#This Row],[Sales_Amount]]</f>
        <v>0.68210113433847774</v>
      </c>
      <c r="R629" t="str">
        <f>TEXT(Table2[[#This Row],[Sale_Date]],"mmmm")</f>
        <v>January</v>
      </c>
      <c r="S629" s="4">
        <f>YEAR(Table2[[#This Row],[Sale_Date]])</f>
        <v>2024</v>
      </c>
    </row>
    <row r="630" spans="1:19" x14ac:dyDescent="0.35">
      <c r="A630">
        <v>1095</v>
      </c>
      <c r="B630" s="1">
        <v>45256</v>
      </c>
      <c r="C630" t="s">
        <v>33</v>
      </c>
      <c r="D630" t="s">
        <v>21</v>
      </c>
      <c r="E630">
        <v>8231.74</v>
      </c>
      <c r="F630">
        <v>7</v>
      </c>
      <c r="G630" t="s">
        <v>26</v>
      </c>
      <c r="H630">
        <v>4257.24</v>
      </c>
      <c r="I630">
        <v>4355.87</v>
      </c>
      <c r="J630" t="s">
        <v>17</v>
      </c>
      <c r="K630">
        <v>0.03</v>
      </c>
      <c r="L630" t="s">
        <v>27</v>
      </c>
      <c r="M630" t="s">
        <v>19</v>
      </c>
      <c r="N630" t="s">
        <v>37</v>
      </c>
      <c r="O630">
        <f>Table2[[#This Row],[Unit_Cost]]*Table2[[#This Row],[Quantity_Sold]]</f>
        <v>29800.68</v>
      </c>
      <c r="P630">
        <f t="shared" si="9"/>
        <v>-21568.940000000002</v>
      </c>
      <c r="Q630" s="3">
        <f>Table2[[#This Row],[Gross_Profit]]/Table2[[#This Row],[Sales_Amount]]</f>
        <v>-2.6202163819556987</v>
      </c>
      <c r="R630" t="str">
        <f>TEXT(Table2[[#This Row],[Sale_Date]],"mmmm")</f>
        <v>November</v>
      </c>
      <c r="S630" s="4">
        <f>YEAR(Table2[[#This Row],[Sale_Date]])</f>
        <v>2023</v>
      </c>
    </row>
    <row r="631" spans="1:19" x14ac:dyDescent="0.35">
      <c r="A631">
        <v>1052</v>
      </c>
      <c r="B631" s="1">
        <v>45033</v>
      </c>
      <c r="C631" t="s">
        <v>42</v>
      </c>
      <c r="D631" t="s">
        <v>25</v>
      </c>
      <c r="E631">
        <v>8448.93</v>
      </c>
      <c r="F631">
        <v>2</v>
      </c>
      <c r="G631" t="s">
        <v>26</v>
      </c>
      <c r="H631">
        <v>1935.41</v>
      </c>
      <c r="I631">
        <v>2305.44</v>
      </c>
      <c r="J631" t="s">
        <v>17</v>
      </c>
      <c r="K631">
        <v>0.22</v>
      </c>
      <c r="L631" t="s">
        <v>31</v>
      </c>
      <c r="M631" t="s">
        <v>19</v>
      </c>
      <c r="N631" t="s">
        <v>43</v>
      </c>
      <c r="O631">
        <f>Table2[[#This Row],[Unit_Cost]]*Table2[[#This Row],[Quantity_Sold]]</f>
        <v>3870.82</v>
      </c>
      <c r="P631">
        <f t="shared" si="9"/>
        <v>4578.1100000000006</v>
      </c>
      <c r="Q631" s="3">
        <f>Table2[[#This Row],[Gross_Profit]]/Table2[[#This Row],[Sales_Amount]]</f>
        <v>0.5418567794975222</v>
      </c>
      <c r="R631" t="str">
        <f>TEXT(Table2[[#This Row],[Sale_Date]],"mmmm")</f>
        <v>April</v>
      </c>
      <c r="S631" s="4">
        <f>YEAR(Table2[[#This Row],[Sale_Date]])</f>
        <v>2023</v>
      </c>
    </row>
    <row r="632" spans="1:19" x14ac:dyDescent="0.35">
      <c r="A632">
        <v>1083</v>
      </c>
      <c r="B632" s="1">
        <v>45152</v>
      </c>
      <c r="C632" t="s">
        <v>38</v>
      </c>
      <c r="D632" t="s">
        <v>21</v>
      </c>
      <c r="E632">
        <v>4902.4399999999996</v>
      </c>
      <c r="F632">
        <v>42</v>
      </c>
      <c r="G632" t="s">
        <v>29</v>
      </c>
      <c r="H632">
        <v>2505.41</v>
      </c>
      <c r="I632">
        <v>2638.96</v>
      </c>
      <c r="J632" t="s">
        <v>30</v>
      </c>
      <c r="K632">
        <v>0.1</v>
      </c>
      <c r="L632" t="s">
        <v>27</v>
      </c>
      <c r="M632" t="s">
        <v>19</v>
      </c>
      <c r="N632" t="s">
        <v>41</v>
      </c>
      <c r="O632">
        <f>Table2[[#This Row],[Unit_Cost]]*Table2[[#This Row],[Quantity_Sold]]</f>
        <v>105227.22</v>
      </c>
      <c r="P632">
        <f t="shared" si="9"/>
        <v>-100324.78</v>
      </c>
      <c r="Q632" s="3">
        <f>Table2[[#This Row],[Gross_Profit]]/Table2[[#This Row],[Sales_Amount]]</f>
        <v>-20.464254534476712</v>
      </c>
      <c r="R632" t="str">
        <f>TEXT(Table2[[#This Row],[Sale_Date]],"mmmm")</f>
        <v>August</v>
      </c>
      <c r="S632" s="4">
        <f>YEAR(Table2[[#This Row],[Sale_Date]])</f>
        <v>2023</v>
      </c>
    </row>
    <row r="633" spans="1:19" x14ac:dyDescent="0.35">
      <c r="A633">
        <v>1016</v>
      </c>
      <c r="B633" s="1">
        <v>45239</v>
      </c>
      <c r="C633" t="s">
        <v>33</v>
      </c>
      <c r="D633" t="s">
        <v>25</v>
      </c>
      <c r="E633">
        <v>3402.92</v>
      </c>
      <c r="F633">
        <v>24</v>
      </c>
      <c r="G633" t="s">
        <v>16</v>
      </c>
      <c r="H633">
        <v>88.44</v>
      </c>
      <c r="I633">
        <v>338.94</v>
      </c>
      <c r="J633" t="s">
        <v>30</v>
      </c>
      <c r="K633">
        <v>0.28999999999999998</v>
      </c>
      <c r="L633" t="s">
        <v>18</v>
      </c>
      <c r="M633" t="s">
        <v>19</v>
      </c>
      <c r="N633" t="s">
        <v>44</v>
      </c>
      <c r="O633">
        <f>Table2[[#This Row],[Unit_Cost]]*Table2[[#This Row],[Quantity_Sold]]</f>
        <v>2122.56</v>
      </c>
      <c r="P633">
        <f t="shared" si="9"/>
        <v>1280.3600000000001</v>
      </c>
      <c r="Q633" s="3">
        <f>Table2[[#This Row],[Gross_Profit]]/Table2[[#This Row],[Sales_Amount]]</f>
        <v>0.37625333537079925</v>
      </c>
      <c r="R633" t="str">
        <f>TEXT(Table2[[#This Row],[Sale_Date]],"mmmm")</f>
        <v>November</v>
      </c>
      <c r="S633" s="4">
        <f>YEAR(Table2[[#This Row],[Sale_Date]])</f>
        <v>2023</v>
      </c>
    </row>
    <row r="634" spans="1:19" x14ac:dyDescent="0.35">
      <c r="A634">
        <v>1069</v>
      </c>
      <c r="B634" s="1">
        <v>45144</v>
      </c>
      <c r="C634" t="s">
        <v>14</v>
      </c>
      <c r="D634" t="s">
        <v>15</v>
      </c>
      <c r="E634">
        <v>7936.43</v>
      </c>
      <c r="F634">
        <v>4</v>
      </c>
      <c r="G634" t="s">
        <v>35</v>
      </c>
      <c r="H634">
        <v>2485.86</v>
      </c>
      <c r="I634">
        <v>2532.87</v>
      </c>
      <c r="J634" t="s">
        <v>30</v>
      </c>
      <c r="K634">
        <v>0.01</v>
      </c>
      <c r="L634" t="s">
        <v>31</v>
      </c>
      <c r="M634" t="s">
        <v>19</v>
      </c>
      <c r="N634" t="s">
        <v>20</v>
      </c>
      <c r="O634">
        <f>Table2[[#This Row],[Unit_Cost]]*Table2[[#This Row],[Quantity_Sold]]</f>
        <v>9943.44</v>
      </c>
      <c r="P634">
        <f t="shared" si="9"/>
        <v>-2007.0100000000002</v>
      </c>
      <c r="Q634" s="3">
        <f>Table2[[#This Row],[Gross_Profit]]/Table2[[#This Row],[Sales_Amount]]</f>
        <v>-0.25288574333799962</v>
      </c>
      <c r="R634" t="str">
        <f>TEXT(Table2[[#This Row],[Sale_Date]],"mmmm")</f>
        <v>August</v>
      </c>
      <c r="S634" s="4">
        <f>YEAR(Table2[[#This Row],[Sale_Date]])</f>
        <v>2023</v>
      </c>
    </row>
    <row r="635" spans="1:19" x14ac:dyDescent="0.35">
      <c r="A635">
        <v>1099</v>
      </c>
      <c r="B635" s="1">
        <v>45167</v>
      </c>
      <c r="C635" t="s">
        <v>42</v>
      </c>
      <c r="D635" t="s">
        <v>21</v>
      </c>
      <c r="E635">
        <v>4567.8100000000004</v>
      </c>
      <c r="F635">
        <v>44</v>
      </c>
      <c r="G635" t="s">
        <v>29</v>
      </c>
      <c r="H635">
        <v>4933.1099999999997</v>
      </c>
      <c r="I635">
        <v>5245.86</v>
      </c>
      <c r="J635" t="s">
        <v>17</v>
      </c>
      <c r="K635">
        <v>0.13</v>
      </c>
      <c r="L635" t="s">
        <v>27</v>
      </c>
      <c r="M635" t="s">
        <v>22</v>
      </c>
      <c r="N635" t="s">
        <v>51</v>
      </c>
      <c r="O635">
        <f>Table2[[#This Row],[Unit_Cost]]*Table2[[#This Row],[Quantity_Sold]]</f>
        <v>217056.84</v>
      </c>
      <c r="P635">
        <f t="shared" si="9"/>
        <v>-212489.03</v>
      </c>
      <c r="Q635" s="3">
        <f>Table2[[#This Row],[Gross_Profit]]/Table2[[#This Row],[Sales_Amount]]</f>
        <v>-46.51879784842189</v>
      </c>
      <c r="R635" t="str">
        <f>TEXT(Table2[[#This Row],[Sale_Date]],"mmmm")</f>
        <v>August</v>
      </c>
      <c r="S635" s="4">
        <f>YEAR(Table2[[#This Row],[Sale_Date]])</f>
        <v>2023</v>
      </c>
    </row>
    <row r="636" spans="1:19" x14ac:dyDescent="0.35">
      <c r="A636">
        <v>1012</v>
      </c>
      <c r="B636" s="1">
        <v>45185</v>
      </c>
      <c r="C636" t="s">
        <v>24</v>
      </c>
      <c r="D636" t="s">
        <v>25</v>
      </c>
      <c r="E636">
        <v>1916.08</v>
      </c>
      <c r="F636">
        <v>19</v>
      </c>
      <c r="G636" t="s">
        <v>35</v>
      </c>
      <c r="H636">
        <v>1427.42</v>
      </c>
      <c r="I636">
        <v>1763.69</v>
      </c>
      <c r="J636" t="s">
        <v>30</v>
      </c>
      <c r="K636">
        <v>0.03</v>
      </c>
      <c r="L636" t="s">
        <v>18</v>
      </c>
      <c r="M636" t="s">
        <v>22</v>
      </c>
      <c r="N636" t="s">
        <v>28</v>
      </c>
      <c r="O636">
        <f>Table2[[#This Row],[Unit_Cost]]*Table2[[#This Row],[Quantity_Sold]]</f>
        <v>27120.980000000003</v>
      </c>
      <c r="P636">
        <f t="shared" si="9"/>
        <v>-25204.9</v>
      </c>
      <c r="Q636" s="3">
        <f>Table2[[#This Row],[Gross_Profit]]/Table2[[#This Row],[Sales_Amount]]</f>
        <v>-13.15440900171183</v>
      </c>
      <c r="R636" t="str">
        <f>TEXT(Table2[[#This Row],[Sale_Date]],"mmmm")</f>
        <v>September</v>
      </c>
      <c r="S636" s="4">
        <f>YEAR(Table2[[#This Row],[Sale_Date]])</f>
        <v>2023</v>
      </c>
    </row>
    <row r="637" spans="1:19" x14ac:dyDescent="0.35">
      <c r="A637">
        <v>1025</v>
      </c>
      <c r="B637" s="1">
        <v>45188</v>
      </c>
      <c r="C637" t="s">
        <v>42</v>
      </c>
      <c r="D637" t="s">
        <v>34</v>
      </c>
      <c r="E637">
        <v>8564.24</v>
      </c>
      <c r="F637">
        <v>26</v>
      </c>
      <c r="G637" t="s">
        <v>35</v>
      </c>
      <c r="H637">
        <v>2007.32</v>
      </c>
      <c r="I637">
        <v>2202.87</v>
      </c>
      <c r="J637" t="s">
        <v>17</v>
      </c>
      <c r="K637">
        <v>0.11</v>
      </c>
      <c r="L637" t="s">
        <v>18</v>
      </c>
      <c r="M637" t="s">
        <v>19</v>
      </c>
      <c r="N637" t="s">
        <v>52</v>
      </c>
      <c r="O637">
        <f>Table2[[#This Row],[Unit_Cost]]*Table2[[#This Row],[Quantity_Sold]]</f>
        <v>52190.32</v>
      </c>
      <c r="P637">
        <f t="shared" si="9"/>
        <v>-43626.080000000002</v>
      </c>
      <c r="Q637" s="3">
        <f>Table2[[#This Row],[Gross_Profit]]/Table2[[#This Row],[Sales_Amount]]</f>
        <v>-5.0939814858060961</v>
      </c>
      <c r="R637" t="str">
        <f>TEXT(Table2[[#This Row],[Sale_Date]],"mmmm")</f>
        <v>September</v>
      </c>
      <c r="S637" s="4">
        <f>YEAR(Table2[[#This Row],[Sale_Date]])</f>
        <v>2023</v>
      </c>
    </row>
    <row r="638" spans="1:19" x14ac:dyDescent="0.35">
      <c r="A638">
        <v>1052</v>
      </c>
      <c r="B638" s="1">
        <v>44931</v>
      </c>
      <c r="C638" t="s">
        <v>14</v>
      </c>
      <c r="D638" t="s">
        <v>15</v>
      </c>
      <c r="E638">
        <v>8837.34</v>
      </c>
      <c r="F638">
        <v>11</v>
      </c>
      <c r="G638" t="s">
        <v>29</v>
      </c>
      <c r="H638">
        <v>3451.59</v>
      </c>
      <c r="I638">
        <v>3929.26</v>
      </c>
      <c r="J638" t="s">
        <v>30</v>
      </c>
      <c r="K638">
        <v>0.3</v>
      </c>
      <c r="L638" t="s">
        <v>31</v>
      </c>
      <c r="M638" t="s">
        <v>22</v>
      </c>
      <c r="N638" t="s">
        <v>20</v>
      </c>
      <c r="O638">
        <f>Table2[[#This Row],[Unit_Cost]]*Table2[[#This Row],[Quantity_Sold]]</f>
        <v>37967.490000000005</v>
      </c>
      <c r="P638">
        <f t="shared" si="9"/>
        <v>-29130.150000000005</v>
      </c>
      <c r="Q638" s="3">
        <f>Table2[[#This Row],[Gross_Profit]]/Table2[[#This Row],[Sales_Amount]]</f>
        <v>-3.2962576974519489</v>
      </c>
      <c r="R638" t="str">
        <f>TEXT(Table2[[#This Row],[Sale_Date]],"mmmm")</f>
        <v>January</v>
      </c>
      <c r="S638" s="4">
        <f>YEAR(Table2[[#This Row],[Sale_Date]])</f>
        <v>2023</v>
      </c>
    </row>
    <row r="639" spans="1:19" x14ac:dyDescent="0.35">
      <c r="A639">
        <v>1085</v>
      </c>
      <c r="B639" s="1">
        <v>45187</v>
      </c>
      <c r="C639" t="s">
        <v>38</v>
      </c>
      <c r="D639" t="s">
        <v>34</v>
      </c>
      <c r="E639">
        <v>4716.47</v>
      </c>
      <c r="F639">
        <v>40</v>
      </c>
      <c r="G639" t="s">
        <v>29</v>
      </c>
      <c r="H639">
        <v>4083.23</v>
      </c>
      <c r="I639">
        <v>4521.57</v>
      </c>
      <c r="J639" t="s">
        <v>30</v>
      </c>
      <c r="K639">
        <v>0.27</v>
      </c>
      <c r="L639" t="s">
        <v>27</v>
      </c>
      <c r="M639" t="s">
        <v>22</v>
      </c>
      <c r="N639" t="s">
        <v>48</v>
      </c>
      <c r="O639">
        <f>Table2[[#This Row],[Unit_Cost]]*Table2[[#This Row],[Quantity_Sold]]</f>
        <v>163329.20000000001</v>
      </c>
      <c r="P639">
        <f t="shared" si="9"/>
        <v>-158612.73000000001</v>
      </c>
      <c r="Q639" s="3">
        <f>Table2[[#This Row],[Gross_Profit]]/Table2[[#This Row],[Sales_Amount]]</f>
        <v>-33.629542857264013</v>
      </c>
      <c r="R639" t="str">
        <f>TEXT(Table2[[#This Row],[Sale_Date]],"mmmm")</f>
        <v>September</v>
      </c>
      <c r="S639" s="4">
        <f>YEAR(Table2[[#This Row],[Sale_Date]])</f>
        <v>2023</v>
      </c>
    </row>
    <row r="640" spans="1:19" x14ac:dyDescent="0.35">
      <c r="A640">
        <v>1100</v>
      </c>
      <c r="B640" s="1">
        <v>44980</v>
      </c>
      <c r="C640" t="s">
        <v>38</v>
      </c>
      <c r="D640" t="s">
        <v>15</v>
      </c>
      <c r="E640">
        <v>849.43</v>
      </c>
      <c r="F640">
        <v>43</v>
      </c>
      <c r="G640" t="s">
        <v>16</v>
      </c>
      <c r="H640">
        <v>2116.09</v>
      </c>
      <c r="I640">
        <v>2472.98</v>
      </c>
      <c r="J640" t="s">
        <v>30</v>
      </c>
      <c r="K640">
        <v>0.01</v>
      </c>
      <c r="L640" t="s">
        <v>31</v>
      </c>
      <c r="M640" t="s">
        <v>22</v>
      </c>
      <c r="N640" t="s">
        <v>40</v>
      </c>
      <c r="O640">
        <f>Table2[[#This Row],[Unit_Cost]]*Table2[[#This Row],[Quantity_Sold]]</f>
        <v>90991.87000000001</v>
      </c>
      <c r="P640">
        <f t="shared" si="9"/>
        <v>-90142.440000000017</v>
      </c>
      <c r="Q640" s="3">
        <f>Table2[[#This Row],[Gross_Profit]]/Table2[[#This Row],[Sales_Amount]]</f>
        <v>-106.12109296822578</v>
      </c>
      <c r="R640" t="str">
        <f>TEXT(Table2[[#This Row],[Sale_Date]],"mmmm")</f>
        <v>February</v>
      </c>
      <c r="S640" s="4">
        <f>YEAR(Table2[[#This Row],[Sale_Date]])</f>
        <v>2023</v>
      </c>
    </row>
    <row r="641" spans="1:19" x14ac:dyDescent="0.35">
      <c r="A641">
        <v>1053</v>
      </c>
      <c r="B641" s="1">
        <v>44973</v>
      </c>
      <c r="C641" t="s">
        <v>38</v>
      </c>
      <c r="D641" t="s">
        <v>21</v>
      </c>
      <c r="E641">
        <v>3939.48</v>
      </c>
      <c r="F641">
        <v>11</v>
      </c>
      <c r="G641" t="s">
        <v>16</v>
      </c>
      <c r="H641">
        <v>1582.86</v>
      </c>
      <c r="I641">
        <v>1942.55</v>
      </c>
      <c r="J641" t="s">
        <v>30</v>
      </c>
      <c r="K641">
        <v>0.17</v>
      </c>
      <c r="L641" t="s">
        <v>31</v>
      </c>
      <c r="M641" t="s">
        <v>22</v>
      </c>
      <c r="N641" t="s">
        <v>41</v>
      </c>
      <c r="O641">
        <f>Table2[[#This Row],[Unit_Cost]]*Table2[[#This Row],[Quantity_Sold]]</f>
        <v>17411.46</v>
      </c>
      <c r="P641">
        <f t="shared" si="9"/>
        <v>-13471.98</v>
      </c>
      <c r="Q641" s="3">
        <f>Table2[[#This Row],[Gross_Profit]]/Table2[[#This Row],[Sales_Amount]]</f>
        <v>-3.4197355996222849</v>
      </c>
      <c r="R641" t="str">
        <f>TEXT(Table2[[#This Row],[Sale_Date]],"mmmm")</f>
        <v>February</v>
      </c>
      <c r="S641" s="4">
        <f>YEAR(Table2[[#This Row],[Sale_Date]])</f>
        <v>2023</v>
      </c>
    </row>
    <row r="642" spans="1:19" x14ac:dyDescent="0.35">
      <c r="A642">
        <v>1023</v>
      </c>
      <c r="B642" s="1">
        <v>45141</v>
      </c>
      <c r="C642" t="s">
        <v>24</v>
      </c>
      <c r="D642" t="s">
        <v>21</v>
      </c>
      <c r="E642">
        <v>8055.02</v>
      </c>
      <c r="F642">
        <v>45</v>
      </c>
      <c r="G642" t="s">
        <v>26</v>
      </c>
      <c r="H642">
        <v>4692.24</v>
      </c>
      <c r="I642">
        <v>4825.92</v>
      </c>
      <c r="J642" t="s">
        <v>17</v>
      </c>
      <c r="K642">
        <v>0.19</v>
      </c>
      <c r="L642" t="s">
        <v>27</v>
      </c>
      <c r="M642" t="s">
        <v>22</v>
      </c>
      <c r="N642" t="s">
        <v>47</v>
      </c>
      <c r="O642">
        <f>Table2[[#This Row],[Unit_Cost]]*Table2[[#This Row],[Quantity_Sold]]</f>
        <v>211150.8</v>
      </c>
      <c r="P642">
        <f t="shared" ref="P642:P705" si="10">E642-O642</f>
        <v>-203095.78</v>
      </c>
      <c r="Q642" s="3">
        <f>Table2[[#This Row],[Gross_Profit]]/Table2[[#This Row],[Sales_Amount]]</f>
        <v>-25.213566198470019</v>
      </c>
      <c r="R642" t="str">
        <f>TEXT(Table2[[#This Row],[Sale_Date]],"mmmm")</f>
        <v>August</v>
      </c>
      <c r="S642" s="4">
        <f>YEAR(Table2[[#This Row],[Sale_Date]])</f>
        <v>2023</v>
      </c>
    </row>
    <row r="643" spans="1:19" x14ac:dyDescent="0.35">
      <c r="A643">
        <v>1016</v>
      </c>
      <c r="B643" s="1">
        <v>45103</v>
      </c>
      <c r="C643" t="s">
        <v>33</v>
      </c>
      <c r="D643" t="s">
        <v>15</v>
      </c>
      <c r="E643">
        <v>9027.56</v>
      </c>
      <c r="F643">
        <v>3</v>
      </c>
      <c r="G643" t="s">
        <v>35</v>
      </c>
      <c r="H643">
        <v>3401.87</v>
      </c>
      <c r="I643">
        <v>3733.71</v>
      </c>
      <c r="J643" t="s">
        <v>17</v>
      </c>
      <c r="K643">
        <v>0.06</v>
      </c>
      <c r="L643" t="s">
        <v>27</v>
      </c>
      <c r="M643" t="s">
        <v>22</v>
      </c>
      <c r="N643" t="s">
        <v>53</v>
      </c>
      <c r="O643">
        <f>Table2[[#This Row],[Unit_Cost]]*Table2[[#This Row],[Quantity_Sold]]</f>
        <v>10205.61</v>
      </c>
      <c r="P643">
        <f t="shared" si="10"/>
        <v>-1178.0500000000011</v>
      </c>
      <c r="Q643" s="3">
        <f>Table2[[#This Row],[Gross_Profit]]/Table2[[#This Row],[Sales_Amount]]</f>
        <v>-0.13049484024476171</v>
      </c>
      <c r="R643" t="str">
        <f>TEXT(Table2[[#This Row],[Sale_Date]],"mmmm")</f>
        <v>June</v>
      </c>
      <c r="S643" s="4">
        <f>YEAR(Table2[[#This Row],[Sale_Date]])</f>
        <v>2023</v>
      </c>
    </row>
    <row r="644" spans="1:19" x14ac:dyDescent="0.35">
      <c r="A644">
        <v>1057</v>
      </c>
      <c r="B644" s="1">
        <v>44935</v>
      </c>
      <c r="C644" t="s">
        <v>33</v>
      </c>
      <c r="D644" t="s">
        <v>15</v>
      </c>
      <c r="E644">
        <v>2114.38</v>
      </c>
      <c r="F644">
        <v>12</v>
      </c>
      <c r="G644" t="s">
        <v>16</v>
      </c>
      <c r="H644">
        <v>639.16</v>
      </c>
      <c r="I644">
        <v>746.28</v>
      </c>
      <c r="J644" t="s">
        <v>17</v>
      </c>
      <c r="K644">
        <v>0.04</v>
      </c>
      <c r="L644" t="s">
        <v>27</v>
      </c>
      <c r="M644" t="s">
        <v>22</v>
      </c>
      <c r="N644" t="s">
        <v>53</v>
      </c>
      <c r="O644">
        <f>Table2[[#This Row],[Unit_Cost]]*Table2[[#This Row],[Quantity_Sold]]</f>
        <v>7669.92</v>
      </c>
      <c r="P644">
        <f t="shared" si="10"/>
        <v>-5555.54</v>
      </c>
      <c r="Q644" s="3">
        <f>Table2[[#This Row],[Gross_Profit]]/Table2[[#This Row],[Sales_Amount]]</f>
        <v>-2.6275030978348259</v>
      </c>
      <c r="R644" t="str">
        <f>TEXT(Table2[[#This Row],[Sale_Date]],"mmmm")</f>
        <v>January</v>
      </c>
      <c r="S644" s="4">
        <f>YEAR(Table2[[#This Row],[Sale_Date]])</f>
        <v>2023</v>
      </c>
    </row>
    <row r="645" spans="1:19" x14ac:dyDescent="0.35">
      <c r="A645">
        <v>1039</v>
      </c>
      <c r="B645" s="1">
        <v>45025</v>
      </c>
      <c r="C645" t="s">
        <v>42</v>
      </c>
      <c r="D645" t="s">
        <v>15</v>
      </c>
      <c r="E645">
        <v>763.04</v>
      </c>
      <c r="F645">
        <v>3</v>
      </c>
      <c r="G645" t="s">
        <v>26</v>
      </c>
      <c r="H645">
        <v>391.19</v>
      </c>
      <c r="I645">
        <v>471.75</v>
      </c>
      <c r="J645" t="s">
        <v>17</v>
      </c>
      <c r="K645">
        <v>0.27</v>
      </c>
      <c r="L645" t="s">
        <v>18</v>
      </c>
      <c r="M645" t="s">
        <v>19</v>
      </c>
      <c r="N645" t="s">
        <v>49</v>
      </c>
      <c r="O645">
        <f>Table2[[#This Row],[Unit_Cost]]*Table2[[#This Row],[Quantity_Sold]]</f>
        <v>1173.57</v>
      </c>
      <c r="P645">
        <f t="shared" si="10"/>
        <v>-410.53</v>
      </c>
      <c r="Q645" s="3">
        <f>Table2[[#This Row],[Gross_Profit]]/Table2[[#This Row],[Sales_Amount]]</f>
        <v>-0.53801897672468024</v>
      </c>
      <c r="R645" t="str">
        <f>TEXT(Table2[[#This Row],[Sale_Date]],"mmmm")</f>
        <v>April</v>
      </c>
      <c r="S645" s="4">
        <f>YEAR(Table2[[#This Row],[Sale_Date]])</f>
        <v>2023</v>
      </c>
    </row>
    <row r="646" spans="1:19" x14ac:dyDescent="0.3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c r="O646">
        <f>Table2[[#This Row],[Unit_Cost]]*Table2[[#This Row],[Quantity_Sold]]</f>
        <v>102629.94</v>
      </c>
      <c r="P646">
        <f t="shared" si="10"/>
        <v>-93844.17</v>
      </c>
      <c r="Q646" s="3">
        <f>Table2[[#This Row],[Gross_Profit]]/Table2[[#This Row],[Sales_Amount]]</f>
        <v>-10.681382508306044</v>
      </c>
      <c r="R646" t="str">
        <f>TEXT(Table2[[#This Row],[Sale_Date]],"mmmm")</f>
        <v>January</v>
      </c>
      <c r="S646" s="4">
        <f>YEAR(Table2[[#This Row],[Sale_Date]])</f>
        <v>2023</v>
      </c>
    </row>
    <row r="647" spans="1:19" x14ac:dyDescent="0.35">
      <c r="A647">
        <v>1042</v>
      </c>
      <c r="B647" s="1">
        <v>45167</v>
      </c>
      <c r="C647" t="s">
        <v>38</v>
      </c>
      <c r="D647" t="s">
        <v>25</v>
      </c>
      <c r="E647">
        <v>3955.11</v>
      </c>
      <c r="F647">
        <v>27</v>
      </c>
      <c r="G647" t="s">
        <v>29</v>
      </c>
      <c r="H647">
        <v>1139.45</v>
      </c>
      <c r="I647">
        <v>1454.41</v>
      </c>
      <c r="J647" t="s">
        <v>17</v>
      </c>
      <c r="K647">
        <v>0.3</v>
      </c>
      <c r="L647" t="s">
        <v>27</v>
      </c>
      <c r="M647" t="s">
        <v>19</v>
      </c>
      <c r="N647" t="s">
        <v>39</v>
      </c>
      <c r="O647">
        <f>Table2[[#This Row],[Unit_Cost]]*Table2[[#This Row],[Quantity_Sold]]</f>
        <v>30765.15</v>
      </c>
      <c r="P647">
        <f t="shared" si="10"/>
        <v>-26810.04</v>
      </c>
      <c r="Q647" s="3">
        <f>Table2[[#This Row],[Gross_Profit]]/Table2[[#This Row],[Sales_Amount]]</f>
        <v>-6.7785826437191377</v>
      </c>
      <c r="R647" t="str">
        <f>TEXT(Table2[[#This Row],[Sale_Date]],"mmmm")</f>
        <v>August</v>
      </c>
      <c r="S647" s="4">
        <f>YEAR(Table2[[#This Row],[Sale_Date]])</f>
        <v>2023</v>
      </c>
    </row>
    <row r="648" spans="1:19" x14ac:dyDescent="0.35">
      <c r="A648">
        <v>1058</v>
      </c>
      <c r="B648" s="1">
        <v>44987</v>
      </c>
      <c r="C648" t="s">
        <v>38</v>
      </c>
      <c r="D648" t="s">
        <v>34</v>
      </c>
      <c r="E648">
        <v>5463.43</v>
      </c>
      <c r="F648">
        <v>49</v>
      </c>
      <c r="G648" t="s">
        <v>16</v>
      </c>
      <c r="H648">
        <v>1307.22</v>
      </c>
      <c r="I648">
        <v>1528.4</v>
      </c>
      <c r="J648" t="s">
        <v>17</v>
      </c>
      <c r="K648">
        <v>0.24</v>
      </c>
      <c r="L648" t="s">
        <v>18</v>
      </c>
      <c r="M648" t="s">
        <v>22</v>
      </c>
      <c r="N648" t="s">
        <v>48</v>
      </c>
      <c r="O648">
        <f>Table2[[#This Row],[Unit_Cost]]*Table2[[#This Row],[Quantity_Sold]]</f>
        <v>64053.78</v>
      </c>
      <c r="P648">
        <f t="shared" si="10"/>
        <v>-58590.35</v>
      </c>
      <c r="Q648" s="3">
        <f>Table2[[#This Row],[Gross_Profit]]/Table2[[#This Row],[Sales_Amount]]</f>
        <v>-10.724096400978871</v>
      </c>
      <c r="R648" t="str">
        <f>TEXT(Table2[[#This Row],[Sale_Date]],"mmmm")</f>
        <v>March</v>
      </c>
      <c r="S648" s="4">
        <f>YEAR(Table2[[#This Row],[Sale_Date]])</f>
        <v>2023</v>
      </c>
    </row>
    <row r="649" spans="1:19" x14ac:dyDescent="0.35">
      <c r="A649">
        <v>1039</v>
      </c>
      <c r="B649" s="1">
        <v>45104</v>
      </c>
      <c r="C649" t="s">
        <v>14</v>
      </c>
      <c r="D649" t="s">
        <v>34</v>
      </c>
      <c r="E649">
        <v>9683.85</v>
      </c>
      <c r="F649">
        <v>2</v>
      </c>
      <c r="G649" t="s">
        <v>35</v>
      </c>
      <c r="H649">
        <v>4394.58</v>
      </c>
      <c r="I649">
        <v>4545.78</v>
      </c>
      <c r="J649" t="s">
        <v>17</v>
      </c>
      <c r="K649">
        <v>0.2</v>
      </c>
      <c r="L649" t="s">
        <v>31</v>
      </c>
      <c r="M649" t="s">
        <v>22</v>
      </c>
      <c r="N649" t="s">
        <v>46</v>
      </c>
      <c r="O649">
        <f>Table2[[#This Row],[Unit_Cost]]*Table2[[#This Row],[Quantity_Sold]]</f>
        <v>8789.16</v>
      </c>
      <c r="P649">
        <f t="shared" si="10"/>
        <v>894.69000000000051</v>
      </c>
      <c r="Q649" s="3">
        <f>Table2[[#This Row],[Gross_Profit]]/Table2[[#This Row],[Sales_Amount]]</f>
        <v>9.2389906906860442E-2</v>
      </c>
      <c r="R649" t="str">
        <f>TEXT(Table2[[#This Row],[Sale_Date]],"mmmm")</f>
        <v>June</v>
      </c>
      <c r="S649" s="4">
        <f>YEAR(Table2[[#This Row],[Sale_Date]])</f>
        <v>2023</v>
      </c>
    </row>
    <row r="650" spans="1:19" x14ac:dyDescent="0.35">
      <c r="A650">
        <v>1014</v>
      </c>
      <c r="B650" s="1">
        <v>45264</v>
      </c>
      <c r="C650" t="s">
        <v>14</v>
      </c>
      <c r="D650" t="s">
        <v>21</v>
      </c>
      <c r="E650">
        <v>758.99</v>
      </c>
      <c r="F650">
        <v>49</v>
      </c>
      <c r="G650" t="s">
        <v>16</v>
      </c>
      <c r="H650">
        <v>493.35</v>
      </c>
      <c r="I650">
        <v>799.27</v>
      </c>
      <c r="J650" t="s">
        <v>30</v>
      </c>
      <c r="K650">
        <v>0.1</v>
      </c>
      <c r="L650" t="s">
        <v>27</v>
      </c>
      <c r="M650" t="s">
        <v>19</v>
      </c>
      <c r="N650" t="s">
        <v>23</v>
      </c>
      <c r="O650">
        <f>Table2[[#This Row],[Unit_Cost]]*Table2[[#This Row],[Quantity_Sold]]</f>
        <v>24174.15</v>
      </c>
      <c r="P650">
        <f t="shared" si="10"/>
        <v>-23415.16</v>
      </c>
      <c r="Q650" s="3">
        <f>Table2[[#This Row],[Gross_Profit]]/Table2[[#This Row],[Sales_Amount]]</f>
        <v>-30.850419636622352</v>
      </c>
      <c r="R650" t="str">
        <f>TEXT(Table2[[#This Row],[Sale_Date]],"mmmm")</f>
        <v>December</v>
      </c>
      <c r="S650" s="4">
        <f>YEAR(Table2[[#This Row],[Sale_Date]])</f>
        <v>2023</v>
      </c>
    </row>
    <row r="651" spans="1:19" x14ac:dyDescent="0.35">
      <c r="A651">
        <v>1095</v>
      </c>
      <c r="B651" s="1">
        <v>44988</v>
      </c>
      <c r="C651" t="s">
        <v>38</v>
      </c>
      <c r="D651" t="s">
        <v>34</v>
      </c>
      <c r="E651">
        <v>6518.35</v>
      </c>
      <c r="F651">
        <v>16</v>
      </c>
      <c r="G651" t="s">
        <v>35</v>
      </c>
      <c r="H651">
        <v>3591.05</v>
      </c>
      <c r="I651">
        <v>3625.35</v>
      </c>
      <c r="J651" t="s">
        <v>17</v>
      </c>
      <c r="K651">
        <v>0.05</v>
      </c>
      <c r="L651" t="s">
        <v>31</v>
      </c>
      <c r="M651" t="s">
        <v>22</v>
      </c>
      <c r="N651" t="s">
        <v>48</v>
      </c>
      <c r="O651">
        <f>Table2[[#This Row],[Unit_Cost]]*Table2[[#This Row],[Quantity_Sold]]</f>
        <v>57456.800000000003</v>
      </c>
      <c r="P651">
        <f t="shared" si="10"/>
        <v>-50938.450000000004</v>
      </c>
      <c r="Q651" s="3">
        <f>Table2[[#This Row],[Gross_Profit]]/Table2[[#This Row],[Sales_Amount]]</f>
        <v>-7.8146233325918368</v>
      </c>
      <c r="R651" t="str">
        <f>TEXT(Table2[[#This Row],[Sale_Date]],"mmmm")</f>
        <v>March</v>
      </c>
      <c r="S651" s="4">
        <f>YEAR(Table2[[#This Row],[Sale_Date]])</f>
        <v>2023</v>
      </c>
    </row>
    <row r="652" spans="1:19" x14ac:dyDescent="0.35">
      <c r="A652">
        <v>1005</v>
      </c>
      <c r="B652" s="1">
        <v>45071</v>
      </c>
      <c r="C652" t="s">
        <v>38</v>
      </c>
      <c r="D652" t="s">
        <v>15</v>
      </c>
      <c r="E652">
        <v>833.64</v>
      </c>
      <c r="F652">
        <v>2</v>
      </c>
      <c r="G652" t="s">
        <v>29</v>
      </c>
      <c r="H652">
        <v>1392.15</v>
      </c>
      <c r="I652">
        <v>1448.54</v>
      </c>
      <c r="J652" t="s">
        <v>17</v>
      </c>
      <c r="K652">
        <v>0.02</v>
      </c>
      <c r="L652" t="s">
        <v>27</v>
      </c>
      <c r="M652" t="s">
        <v>22</v>
      </c>
      <c r="N652" t="s">
        <v>40</v>
      </c>
      <c r="O652">
        <f>Table2[[#This Row],[Unit_Cost]]*Table2[[#This Row],[Quantity_Sold]]</f>
        <v>2784.3</v>
      </c>
      <c r="P652">
        <f t="shared" si="10"/>
        <v>-1950.6600000000003</v>
      </c>
      <c r="Q652" s="3">
        <f>Table2[[#This Row],[Gross_Profit]]/Table2[[#This Row],[Sales_Amount]]</f>
        <v>-2.3399309054268032</v>
      </c>
      <c r="R652" t="str">
        <f>TEXT(Table2[[#This Row],[Sale_Date]],"mmmm")</f>
        <v>May</v>
      </c>
      <c r="S652" s="4">
        <f>YEAR(Table2[[#This Row],[Sale_Date]])</f>
        <v>2023</v>
      </c>
    </row>
    <row r="653" spans="1:19" x14ac:dyDescent="0.35">
      <c r="A653">
        <v>1035</v>
      </c>
      <c r="B653" s="1">
        <v>45142</v>
      </c>
      <c r="C653" t="s">
        <v>24</v>
      </c>
      <c r="D653" t="s">
        <v>25</v>
      </c>
      <c r="E653">
        <v>3817.14</v>
      </c>
      <c r="F653">
        <v>30</v>
      </c>
      <c r="G653" t="s">
        <v>35</v>
      </c>
      <c r="H653">
        <v>3813.62</v>
      </c>
      <c r="I653">
        <v>3839.72</v>
      </c>
      <c r="J653" t="s">
        <v>30</v>
      </c>
      <c r="K653">
        <v>0.21</v>
      </c>
      <c r="L653" t="s">
        <v>31</v>
      </c>
      <c r="M653" t="s">
        <v>19</v>
      </c>
      <c r="N653" t="s">
        <v>28</v>
      </c>
      <c r="O653">
        <f>Table2[[#This Row],[Unit_Cost]]*Table2[[#This Row],[Quantity_Sold]]</f>
        <v>114408.59999999999</v>
      </c>
      <c r="P653">
        <f t="shared" si="10"/>
        <v>-110591.45999999999</v>
      </c>
      <c r="Q653" s="3">
        <f>Table2[[#This Row],[Gross_Profit]]/Table2[[#This Row],[Sales_Amount]]</f>
        <v>-28.972335308634211</v>
      </c>
      <c r="R653" t="str">
        <f>TEXT(Table2[[#This Row],[Sale_Date]],"mmmm")</f>
        <v>August</v>
      </c>
      <c r="S653" s="4">
        <f>YEAR(Table2[[#This Row],[Sale_Date]])</f>
        <v>2023</v>
      </c>
    </row>
    <row r="654" spans="1:19" x14ac:dyDescent="0.35">
      <c r="A654">
        <v>1087</v>
      </c>
      <c r="B654" s="1">
        <v>44929</v>
      </c>
      <c r="C654" t="s">
        <v>33</v>
      </c>
      <c r="D654" t="s">
        <v>34</v>
      </c>
      <c r="E654">
        <v>8057.76</v>
      </c>
      <c r="F654">
        <v>20</v>
      </c>
      <c r="G654" t="s">
        <v>16</v>
      </c>
      <c r="H654">
        <v>3625.94</v>
      </c>
      <c r="I654">
        <v>3880.53</v>
      </c>
      <c r="J654" t="s">
        <v>30</v>
      </c>
      <c r="K654">
        <v>0.24</v>
      </c>
      <c r="L654" t="s">
        <v>27</v>
      </c>
      <c r="M654" t="s">
        <v>19</v>
      </c>
      <c r="N654" t="s">
        <v>36</v>
      </c>
      <c r="O654">
        <f>Table2[[#This Row],[Unit_Cost]]*Table2[[#This Row],[Quantity_Sold]]</f>
        <v>72518.8</v>
      </c>
      <c r="P654">
        <f t="shared" si="10"/>
        <v>-64461.04</v>
      </c>
      <c r="Q654" s="3">
        <f>Table2[[#This Row],[Gross_Profit]]/Table2[[#This Row],[Sales_Amount]]</f>
        <v>-7.999870931871885</v>
      </c>
      <c r="R654" t="str">
        <f>TEXT(Table2[[#This Row],[Sale_Date]],"mmmm")</f>
        <v>January</v>
      </c>
      <c r="S654" s="4">
        <f>YEAR(Table2[[#This Row],[Sale_Date]])</f>
        <v>2023</v>
      </c>
    </row>
    <row r="655" spans="1:19" x14ac:dyDescent="0.35">
      <c r="A655">
        <v>1093</v>
      </c>
      <c r="B655" s="1">
        <v>45086</v>
      </c>
      <c r="C655" t="s">
        <v>14</v>
      </c>
      <c r="D655" t="s">
        <v>25</v>
      </c>
      <c r="E655">
        <v>4391.38</v>
      </c>
      <c r="F655">
        <v>38</v>
      </c>
      <c r="G655" t="s">
        <v>26</v>
      </c>
      <c r="H655">
        <v>86.59</v>
      </c>
      <c r="I655">
        <v>390.89</v>
      </c>
      <c r="J655" t="s">
        <v>17</v>
      </c>
      <c r="K655">
        <v>0.25</v>
      </c>
      <c r="L655" t="s">
        <v>31</v>
      </c>
      <c r="M655" t="s">
        <v>19</v>
      </c>
      <c r="N655" t="s">
        <v>32</v>
      </c>
      <c r="O655">
        <f>Table2[[#This Row],[Unit_Cost]]*Table2[[#This Row],[Quantity_Sold]]</f>
        <v>3290.42</v>
      </c>
      <c r="P655">
        <f t="shared" si="10"/>
        <v>1100.96</v>
      </c>
      <c r="Q655" s="3">
        <f>Table2[[#This Row],[Gross_Profit]]/Table2[[#This Row],[Sales_Amount]]</f>
        <v>0.25070934421525809</v>
      </c>
      <c r="R655" t="str">
        <f>TEXT(Table2[[#This Row],[Sale_Date]],"mmmm")</f>
        <v>June</v>
      </c>
      <c r="S655" s="4">
        <f>YEAR(Table2[[#This Row],[Sale_Date]])</f>
        <v>2023</v>
      </c>
    </row>
    <row r="656" spans="1:19" x14ac:dyDescent="0.35">
      <c r="A656">
        <v>1075</v>
      </c>
      <c r="B656" s="1">
        <v>45153</v>
      </c>
      <c r="C656" t="s">
        <v>33</v>
      </c>
      <c r="D656" t="s">
        <v>15</v>
      </c>
      <c r="E656">
        <v>9972.11</v>
      </c>
      <c r="F656">
        <v>28</v>
      </c>
      <c r="G656" t="s">
        <v>29</v>
      </c>
      <c r="H656">
        <v>2570.2199999999998</v>
      </c>
      <c r="I656">
        <v>2610.8399999999901</v>
      </c>
      <c r="J656" t="s">
        <v>17</v>
      </c>
      <c r="K656">
        <v>0.27</v>
      </c>
      <c r="L656" t="s">
        <v>27</v>
      </c>
      <c r="M656" t="s">
        <v>22</v>
      </c>
      <c r="N656" t="s">
        <v>53</v>
      </c>
      <c r="O656">
        <f>Table2[[#This Row],[Unit_Cost]]*Table2[[#This Row],[Quantity_Sold]]</f>
        <v>71966.159999999989</v>
      </c>
      <c r="P656">
        <f t="shared" si="10"/>
        <v>-61994.049999999988</v>
      </c>
      <c r="Q656" s="3">
        <f>Table2[[#This Row],[Gross_Profit]]/Table2[[#This Row],[Sales_Amount]]</f>
        <v>-6.2167434976148463</v>
      </c>
      <c r="R656" t="str">
        <f>TEXT(Table2[[#This Row],[Sale_Date]],"mmmm")</f>
        <v>August</v>
      </c>
      <c r="S656" s="4">
        <f>YEAR(Table2[[#This Row],[Sale_Date]])</f>
        <v>2023</v>
      </c>
    </row>
    <row r="657" spans="1:19" x14ac:dyDescent="0.35">
      <c r="A657">
        <v>1018</v>
      </c>
      <c r="B657" s="1">
        <v>45195</v>
      </c>
      <c r="C657" t="s">
        <v>24</v>
      </c>
      <c r="D657" t="s">
        <v>34</v>
      </c>
      <c r="E657">
        <v>5634.69</v>
      </c>
      <c r="F657">
        <v>25</v>
      </c>
      <c r="G657" t="s">
        <v>16</v>
      </c>
      <c r="H657">
        <v>739.63</v>
      </c>
      <c r="I657">
        <v>1103.03</v>
      </c>
      <c r="J657" t="s">
        <v>30</v>
      </c>
      <c r="K657">
        <v>0.26</v>
      </c>
      <c r="L657" t="s">
        <v>27</v>
      </c>
      <c r="M657" t="s">
        <v>22</v>
      </c>
      <c r="N657" t="s">
        <v>50</v>
      </c>
      <c r="O657">
        <f>Table2[[#This Row],[Unit_Cost]]*Table2[[#This Row],[Quantity_Sold]]</f>
        <v>18490.75</v>
      </c>
      <c r="P657">
        <f t="shared" si="10"/>
        <v>-12856.060000000001</v>
      </c>
      <c r="Q657" s="3">
        <f>Table2[[#This Row],[Gross_Profit]]/Table2[[#This Row],[Sales_Amount]]</f>
        <v>-2.281591356401151</v>
      </c>
      <c r="R657" t="str">
        <f>TEXT(Table2[[#This Row],[Sale_Date]],"mmmm")</f>
        <v>September</v>
      </c>
      <c r="S657" s="4">
        <f>YEAR(Table2[[#This Row],[Sale_Date]])</f>
        <v>2023</v>
      </c>
    </row>
    <row r="658" spans="1:19" x14ac:dyDescent="0.35">
      <c r="A658">
        <v>1076</v>
      </c>
      <c r="B658" s="1">
        <v>45046</v>
      </c>
      <c r="C658" t="s">
        <v>38</v>
      </c>
      <c r="D658" t="s">
        <v>21</v>
      </c>
      <c r="E658">
        <v>3279.51</v>
      </c>
      <c r="F658">
        <v>32</v>
      </c>
      <c r="G658" t="s">
        <v>29</v>
      </c>
      <c r="H658">
        <v>4337.82</v>
      </c>
      <c r="I658">
        <v>4460.71</v>
      </c>
      <c r="J658" t="s">
        <v>17</v>
      </c>
      <c r="K658">
        <v>0.3</v>
      </c>
      <c r="L658" t="s">
        <v>18</v>
      </c>
      <c r="M658" t="s">
        <v>22</v>
      </c>
      <c r="N658" t="s">
        <v>41</v>
      </c>
      <c r="O658">
        <f>Table2[[#This Row],[Unit_Cost]]*Table2[[#This Row],[Quantity_Sold]]</f>
        <v>138810.23999999999</v>
      </c>
      <c r="P658">
        <f t="shared" si="10"/>
        <v>-135530.72999999998</v>
      </c>
      <c r="Q658" s="3">
        <f>Table2[[#This Row],[Gross_Profit]]/Table2[[#This Row],[Sales_Amount]]</f>
        <v>-41.326518290842223</v>
      </c>
      <c r="R658" t="str">
        <f>TEXT(Table2[[#This Row],[Sale_Date]],"mmmm")</f>
        <v>April</v>
      </c>
      <c r="S658" s="4">
        <f>YEAR(Table2[[#This Row],[Sale_Date]])</f>
        <v>2023</v>
      </c>
    </row>
    <row r="659" spans="1:19" x14ac:dyDescent="0.3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c r="O659">
        <f>Table2[[#This Row],[Unit_Cost]]*Table2[[#This Row],[Quantity_Sold]]</f>
        <v>43643.5</v>
      </c>
      <c r="P659">
        <f t="shared" si="10"/>
        <v>-41364.400000000001</v>
      </c>
      <c r="Q659" s="3">
        <f>Table2[[#This Row],[Gross_Profit]]/Table2[[#This Row],[Sales_Amount]]</f>
        <v>-18.149444956342418</v>
      </c>
      <c r="R659" t="str">
        <f>TEXT(Table2[[#This Row],[Sale_Date]],"mmmm")</f>
        <v>March</v>
      </c>
      <c r="S659" s="4">
        <f>YEAR(Table2[[#This Row],[Sale_Date]])</f>
        <v>2023</v>
      </c>
    </row>
    <row r="660" spans="1:19" x14ac:dyDescent="0.35">
      <c r="A660">
        <v>1074</v>
      </c>
      <c r="B660" s="1">
        <v>45255</v>
      </c>
      <c r="C660" t="s">
        <v>38</v>
      </c>
      <c r="D660" t="s">
        <v>15</v>
      </c>
      <c r="E660">
        <v>3570.15</v>
      </c>
      <c r="F660">
        <v>42</v>
      </c>
      <c r="G660" t="s">
        <v>16</v>
      </c>
      <c r="H660">
        <v>2120.81</v>
      </c>
      <c r="I660">
        <v>2611.94</v>
      </c>
      <c r="J660" t="s">
        <v>17</v>
      </c>
      <c r="K660">
        <v>0.23</v>
      </c>
      <c r="L660" t="s">
        <v>18</v>
      </c>
      <c r="M660" t="s">
        <v>19</v>
      </c>
      <c r="N660" t="s">
        <v>40</v>
      </c>
      <c r="O660">
        <f>Table2[[#This Row],[Unit_Cost]]*Table2[[#This Row],[Quantity_Sold]]</f>
        <v>89074.02</v>
      </c>
      <c r="P660">
        <f t="shared" si="10"/>
        <v>-85503.87000000001</v>
      </c>
      <c r="Q660" s="3">
        <f>Table2[[#This Row],[Gross_Profit]]/Table2[[#This Row],[Sales_Amount]]</f>
        <v>-23.949657577412715</v>
      </c>
      <c r="R660" t="str">
        <f>TEXT(Table2[[#This Row],[Sale_Date]],"mmmm")</f>
        <v>November</v>
      </c>
      <c r="S660" s="4">
        <f>YEAR(Table2[[#This Row],[Sale_Date]])</f>
        <v>2023</v>
      </c>
    </row>
    <row r="661" spans="1:19" x14ac:dyDescent="0.35">
      <c r="A661">
        <v>1058</v>
      </c>
      <c r="B661" s="1">
        <v>44994</v>
      </c>
      <c r="C661" t="s">
        <v>38</v>
      </c>
      <c r="D661" t="s">
        <v>25</v>
      </c>
      <c r="E661">
        <v>3788.08</v>
      </c>
      <c r="F661">
        <v>40</v>
      </c>
      <c r="G661" t="s">
        <v>16</v>
      </c>
      <c r="H661">
        <v>2249.7600000000002</v>
      </c>
      <c r="I661">
        <v>2598.4</v>
      </c>
      <c r="J661" t="s">
        <v>17</v>
      </c>
      <c r="K661">
        <v>0.18</v>
      </c>
      <c r="L661" t="s">
        <v>31</v>
      </c>
      <c r="M661" t="s">
        <v>22</v>
      </c>
      <c r="N661" t="s">
        <v>39</v>
      </c>
      <c r="O661">
        <f>Table2[[#This Row],[Unit_Cost]]*Table2[[#This Row],[Quantity_Sold]]</f>
        <v>89990.400000000009</v>
      </c>
      <c r="P661">
        <f t="shared" si="10"/>
        <v>-86202.32</v>
      </c>
      <c r="Q661" s="3">
        <f>Table2[[#This Row],[Gross_Profit]]/Table2[[#This Row],[Sales_Amount]]</f>
        <v>-22.756203670461026</v>
      </c>
      <c r="R661" t="str">
        <f>TEXT(Table2[[#This Row],[Sale_Date]],"mmmm")</f>
        <v>March</v>
      </c>
      <c r="S661" s="4">
        <f>YEAR(Table2[[#This Row],[Sale_Date]])</f>
        <v>2023</v>
      </c>
    </row>
    <row r="662" spans="1:19" x14ac:dyDescent="0.35">
      <c r="A662">
        <v>1017</v>
      </c>
      <c r="B662" s="1">
        <v>45283</v>
      </c>
      <c r="C662" t="s">
        <v>42</v>
      </c>
      <c r="D662" t="s">
        <v>34</v>
      </c>
      <c r="E662">
        <v>780.27</v>
      </c>
      <c r="F662">
        <v>33</v>
      </c>
      <c r="G662" t="s">
        <v>26</v>
      </c>
      <c r="H662">
        <v>1551.25</v>
      </c>
      <c r="I662">
        <v>1994.01</v>
      </c>
      <c r="J662" t="s">
        <v>17</v>
      </c>
      <c r="K662">
        <v>0.08</v>
      </c>
      <c r="L662" t="s">
        <v>18</v>
      </c>
      <c r="M662" t="s">
        <v>19</v>
      </c>
      <c r="N662" t="s">
        <v>52</v>
      </c>
      <c r="O662">
        <f>Table2[[#This Row],[Unit_Cost]]*Table2[[#This Row],[Quantity_Sold]]</f>
        <v>51191.25</v>
      </c>
      <c r="P662">
        <f t="shared" si="10"/>
        <v>-50410.98</v>
      </c>
      <c r="Q662" s="3">
        <f>Table2[[#This Row],[Gross_Profit]]/Table2[[#This Row],[Sales_Amount]]</f>
        <v>-64.607097543158147</v>
      </c>
      <c r="R662" t="str">
        <f>TEXT(Table2[[#This Row],[Sale_Date]],"mmmm")</f>
        <v>December</v>
      </c>
      <c r="S662" s="4">
        <f>YEAR(Table2[[#This Row],[Sale_Date]])</f>
        <v>2023</v>
      </c>
    </row>
    <row r="663" spans="1:19" x14ac:dyDescent="0.35">
      <c r="A663">
        <v>1007</v>
      </c>
      <c r="B663" s="1">
        <v>45024</v>
      </c>
      <c r="C663" t="s">
        <v>33</v>
      </c>
      <c r="D663" t="s">
        <v>34</v>
      </c>
      <c r="E663">
        <v>3758.78</v>
      </c>
      <c r="F663">
        <v>13</v>
      </c>
      <c r="G663" t="s">
        <v>29</v>
      </c>
      <c r="H663">
        <v>3597.2</v>
      </c>
      <c r="I663">
        <v>4071.8199999999902</v>
      </c>
      <c r="J663" t="s">
        <v>17</v>
      </c>
      <c r="K663">
        <v>0.28999999999999998</v>
      </c>
      <c r="L663" t="s">
        <v>27</v>
      </c>
      <c r="M663" t="s">
        <v>19</v>
      </c>
      <c r="N663" t="s">
        <v>36</v>
      </c>
      <c r="O663">
        <f>Table2[[#This Row],[Unit_Cost]]*Table2[[#This Row],[Quantity_Sold]]</f>
        <v>46763.6</v>
      </c>
      <c r="P663">
        <f t="shared" si="10"/>
        <v>-43004.82</v>
      </c>
      <c r="Q663" s="3">
        <f>Table2[[#This Row],[Gross_Profit]]/Table2[[#This Row],[Sales_Amount]]</f>
        <v>-11.441164420370439</v>
      </c>
      <c r="R663" t="str">
        <f>TEXT(Table2[[#This Row],[Sale_Date]],"mmmm")</f>
        <v>April</v>
      </c>
      <c r="S663" s="4">
        <f>YEAR(Table2[[#This Row],[Sale_Date]])</f>
        <v>2023</v>
      </c>
    </row>
    <row r="664" spans="1:19" x14ac:dyDescent="0.35">
      <c r="A664">
        <v>1046</v>
      </c>
      <c r="B664" s="1">
        <v>45193</v>
      </c>
      <c r="C664" t="s">
        <v>33</v>
      </c>
      <c r="D664" t="s">
        <v>21</v>
      </c>
      <c r="E664">
        <v>4695.96</v>
      </c>
      <c r="F664">
        <v>41</v>
      </c>
      <c r="G664" t="s">
        <v>29</v>
      </c>
      <c r="H664">
        <v>1825.37</v>
      </c>
      <c r="I664">
        <v>2073.88</v>
      </c>
      <c r="J664" t="s">
        <v>17</v>
      </c>
      <c r="K664">
        <v>0.27</v>
      </c>
      <c r="L664" t="s">
        <v>18</v>
      </c>
      <c r="M664" t="s">
        <v>22</v>
      </c>
      <c r="N664" t="s">
        <v>37</v>
      </c>
      <c r="O664">
        <f>Table2[[#This Row],[Unit_Cost]]*Table2[[#This Row],[Quantity_Sold]]</f>
        <v>74840.17</v>
      </c>
      <c r="P664">
        <f t="shared" si="10"/>
        <v>-70144.209999999992</v>
      </c>
      <c r="Q664" s="3">
        <f>Table2[[#This Row],[Gross_Profit]]/Table2[[#This Row],[Sales_Amount]]</f>
        <v>-14.937139583812467</v>
      </c>
      <c r="R664" t="str">
        <f>TEXT(Table2[[#This Row],[Sale_Date]],"mmmm")</f>
        <v>September</v>
      </c>
      <c r="S664" s="4">
        <f>YEAR(Table2[[#This Row],[Sale_Date]])</f>
        <v>2023</v>
      </c>
    </row>
    <row r="665" spans="1:19" x14ac:dyDescent="0.35">
      <c r="A665">
        <v>1013</v>
      </c>
      <c r="B665" s="1">
        <v>45031</v>
      </c>
      <c r="C665" t="s">
        <v>38</v>
      </c>
      <c r="D665" t="s">
        <v>15</v>
      </c>
      <c r="E665">
        <v>7255.1</v>
      </c>
      <c r="F665">
        <v>42</v>
      </c>
      <c r="G665" t="s">
        <v>16</v>
      </c>
      <c r="H665">
        <v>1375.57</v>
      </c>
      <c r="I665">
        <v>1729.71</v>
      </c>
      <c r="J665" t="s">
        <v>30</v>
      </c>
      <c r="K665">
        <v>0.04</v>
      </c>
      <c r="L665" t="s">
        <v>18</v>
      </c>
      <c r="M665" t="s">
        <v>19</v>
      </c>
      <c r="N665" t="s">
        <v>40</v>
      </c>
      <c r="O665">
        <f>Table2[[#This Row],[Unit_Cost]]*Table2[[#This Row],[Quantity_Sold]]</f>
        <v>57773.939999999995</v>
      </c>
      <c r="P665">
        <f t="shared" si="10"/>
        <v>-50518.84</v>
      </c>
      <c r="Q665" s="3">
        <f>Table2[[#This Row],[Gross_Profit]]/Table2[[#This Row],[Sales_Amount]]</f>
        <v>-6.9632175986547384</v>
      </c>
      <c r="R665" t="str">
        <f>TEXT(Table2[[#This Row],[Sale_Date]],"mmmm")</f>
        <v>April</v>
      </c>
      <c r="S665" s="4">
        <f>YEAR(Table2[[#This Row],[Sale_Date]])</f>
        <v>2023</v>
      </c>
    </row>
    <row r="666" spans="1:19" x14ac:dyDescent="0.35">
      <c r="A666">
        <v>1040</v>
      </c>
      <c r="B666" s="1">
        <v>45249</v>
      </c>
      <c r="C666" t="s">
        <v>24</v>
      </c>
      <c r="D666" t="s">
        <v>15</v>
      </c>
      <c r="E666">
        <v>6601.62</v>
      </c>
      <c r="F666">
        <v>47</v>
      </c>
      <c r="G666" t="s">
        <v>35</v>
      </c>
      <c r="H666">
        <v>2189.54</v>
      </c>
      <c r="I666">
        <v>2617</v>
      </c>
      <c r="J666" t="s">
        <v>30</v>
      </c>
      <c r="K666">
        <v>0.01</v>
      </c>
      <c r="L666" t="s">
        <v>27</v>
      </c>
      <c r="M666" t="s">
        <v>19</v>
      </c>
      <c r="N666" t="s">
        <v>45</v>
      </c>
      <c r="O666">
        <f>Table2[[#This Row],[Unit_Cost]]*Table2[[#This Row],[Quantity_Sold]]</f>
        <v>102908.38</v>
      </c>
      <c r="P666">
        <f t="shared" si="10"/>
        <v>-96306.760000000009</v>
      </c>
      <c r="Q666" s="3">
        <f>Table2[[#This Row],[Gross_Profit]]/Table2[[#This Row],[Sales_Amount]]</f>
        <v>-14.588352555887798</v>
      </c>
      <c r="R666" t="str">
        <f>TEXT(Table2[[#This Row],[Sale_Date]],"mmmm")</f>
        <v>November</v>
      </c>
      <c r="S666" s="4">
        <f>YEAR(Table2[[#This Row],[Sale_Date]])</f>
        <v>2023</v>
      </c>
    </row>
    <row r="667" spans="1:19" x14ac:dyDescent="0.35">
      <c r="A667">
        <v>1042</v>
      </c>
      <c r="B667" s="1">
        <v>45049</v>
      </c>
      <c r="C667" t="s">
        <v>42</v>
      </c>
      <c r="D667" t="s">
        <v>21</v>
      </c>
      <c r="E667">
        <v>7116.78</v>
      </c>
      <c r="F667">
        <v>37</v>
      </c>
      <c r="G667" t="s">
        <v>16</v>
      </c>
      <c r="H667">
        <v>502.86</v>
      </c>
      <c r="I667">
        <v>687.6</v>
      </c>
      <c r="J667" t="s">
        <v>17</v>
      </c>
      <c r="K667">
        <v>0.21</v>
      </c>
      <c r="L667" t="s">
        <v>18</v>
      </c>
      <c r="M667" t="s">
        <v>19</v>
      </c>
      <c r="N667" t="s">
        <v>51</v>
      </c>
      <c r="O667">
        <f>Table2[[#This Row],[Unit_Cost]]*Table2[[#This Row],[Quantity_Sold]]</f>
        <v>18605.82</v>
      </c>
      <c r="P667">
        <f t="shared" si="10"/>
        <v>-11489.04</v>
      </c>
      <c r="Q667" s="3">
        <f>Table2[[#This Row],[Gross_Profit]]/Table2[[#This Row],[Sales_Amount]]</f>
        <v>-1.6143593029431851</v>
      </c>
      <c r="R667" t="str">
        <f>TEXT(Table2[[#This Row],[Sale_Date]],"mmmm")</f>
        <v>May</v>
      </c>
      <c r="S667" s="4">
        <f>YEAR(Table2[[#This Row],[Sale_Date]])</f>
        <v>2023</v>
      </c>
    </row>
    <row r="668" spans="1:19" x14ac:dyDescent="0.35">
      <c r="A668">
        <v>1009</v>
      </c>
      <c r="B668" s="1">
        <v>44955</v>
      </c>
      <c r="C668" t="s">
        <v>38</v>
      </c>
      <c r="D668" t="s">
        <v>21</v>
      </c>
      <c r="E668">
        <v>182.8</v>
      </c>
      <c r="F668">
        <v>16</v>
      </c>
      <c r="G668" t="s">
        <v>29</v>
      </c>
      <c r="H668">
        <v>3745.69</v>
      </c>
      <c r="I668">
        <v>3883.77</v>
      </c>
      <c r="J668" t="s">
        <v>17</v>
      </c>
      <c r="K668">
        <v>0.18</v>
      </c>
      <c r="L668" t="s">
        <v>27</v>
      </c>
      <c r="M668" t="s">
        <v>22</v>
      </c>
      <c r="N668" t="s">
        <v>41</v>
      </c>
      <c r="O668">
        <f>Table2[[#This Row],[Unit_Cost]]*Table2[[#This Row],[Quantity_Sold]]</f>
        <v>59931.040000000001</v>
      </c>
      <c r="P668">
        <f t="shared" si="10"/>
        <v>-59748.24</v>
      </c>
      <c r="Q668" s="3">
        <f>Table2[[#This Row],[Gross_Profit]]/Table2[[#This Row],[Sales_Amount]]</f>
        <v>-326.85032822757108</v>
      </c>
      <c r="R668" t="str">
        <f>TEXT(Table2[[#This Row],[Sale_Date]],"mmmm")</f>
        <v>January</v>
      </c>
      <c r="S668" s="4">
        <f>YEAR(Table2[[#This Row],[Sale_Date]])</f>
        <v>2023</v>
      </c>
    </row>
    <row r="669" spans="1:19" x14ac:dyDescent="0.35">
      <c r="A669">
        <v>1050</v>
      </c>
      <c r="B669" s="1">
        <v>45063</v>
      </c>
      <c r="C669" t="s">
        <v>14</v>
      </c>
      <c r="D669" t="s">
        <v>15</v>
      </c>
      <c r="E669">
        <v>2254.91</v>
      </c>
      <c r="F669">
        <v>45</v>
      </c>
      <c r="G669" t="s">
        <v>16</v>
      </c>
      <c r="H669">
        <v>112.35</v>
      </c>
      <c r="I669">
        <v>586.17999999999995</v>
      </c>
      <c r="J669" t="s">
        <v>17</v>
      </c>
      <c r="K669">
        <v>0.28000000000000003</v>
      </c>
      <c r="L669" t="s">
        <v>31</v>
      </c>
      <c r="M669" t="s">
        <v>22</v>
      </c>
      <c r="N669" t="s">
        <v>20</v>
      </c>
      <c r="O669">
        <f>Table2[[#This Row],[Unit_Cost]]*Table2[[#This Row],[Quantity_Sold]]</f>
        <v>5055.75</v>
      </c>
      <c r="P669">
        <f t="shared" si="10"/>
        <v>-2800.84</v>
      </c>
      <c r="Q669" s="3">
        <f>Table2[[#This Row],[Gross_Profit]]/Table2[[#This Row],[Sales_Amount]]</f>
        <v>-1.2421072237916371</v>
      </c>
      <c r="R669" t="str">
        <f>TEXT(Table2[[#This Row],[Sale_Date]],"mmmm")</f>
        <v>May</v>
      </c>
      <c r="S669" s="4">
        <f>YEAR(Table2[[#This Row],[Sale_Date]])</f>
        <v>2023</v>
      </c>
    </row>
    <row r="670" spans="1:19" x14ac:dyDescent="0.3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c r="O670">
        <f>Table2[[#This Row],[Unit_Cost]]*Table2[[#This Row],[Quantity_Sold]]</f>
        <v>71284.399999999994</v>
      </c>
      <c r="P670">
        <f t="shared" si="10"/>
        <v>-64633.729999999996</v>
      </c>
      <c r="Q670" s="3">
        <f>Table2[[#This Row],[Gross_Profit]]/Table2[[#This Row],[Sales_Amount]]</f>
        <v>-9.718378749810169</v>
      </c>
      <c r="R670" t="str">
        <f>TEXT(Table2[[#This Row],[Sale_Date]],"mmmm")</f>
        <v>July</v>
      </c>
      <c r="S670" s="4">
        <f>YEAR(Table2[[#This Row],[Sale_Date]])</f>
        <v>2023</v>
      </c>
    </row>
    <row r="671" spans="1:19" x14ac:dyDescent="0.35">
      <c r="A671">
        <v>1066</v>
      </c>
      <c r="B671" s="1">
        <v>45152</v>
      </c>
      <c r="C671" t="s">
        <v>42</v>
      </c>
      <c r="D671" t="s">
        <v>25</v>
      </c>
      <c r="E671">
        <v>4891.49</v>
      </c>
      <c r="F671">
        <v>20</v>
      </c>
      <c r="G671" t="s">
        <v>35</v>
      </c>
      <c r="H671">
        <v>955.18</v>
      </c>
      <c r="I671">
        <v>1072.82</v>
      </c>
      <c r="J671" t="s">
        <v>30</v>
      </c>
      <c r="K671">
        <v>0.03</v>
      </c>
      <c r="L671" t="s">
        <v>27</v>
      </c>
      <c r="M671" t="s">
        <v>22</v>
      </c>
      <c r="N671" t="s">
        <v>43</v>
      </c>
      <c r="O671">
        <f>Table2[[#This Row],[Unit_Cost]]*Table2[[#This Row],[Quantity_Sold]]</f>
        <v>19103.599999999999</v>
      </c>
      <c r="P671">
        <f t="shared" si="10"/>
        <v>-14212.109999999999</v>
      </c>
      <c r="Q671" s="3">
        <f>Table2[[#This Row],[Gross_Profit]]/Table2[[#This Row],[Sales_Amount]]</f>
        <v>-2.9054766543527637</v>
      </c>
      <c r="R671" t="str">
        <f>TEXT(Table2[[#This Row],[Sale_Date]],"mmmm")</f>
        <v>August</v>
      </c>
      <c r="S671" s="4">
        <f>YEAR(Table2[[#This Row],[Sale_Date]])</f>
        <v>2023</v>
      </c>
    </row>
    <row r="672" spans="1:19" x14ac:dyDescent="0.35">
      <c r="A672">
        <v>1005</v>
      </c>
      <c r="B672" s="1">
        <v>45258</v>
      </c>
      <c r="C672" t="s">
        <v>24</v>
      </c>
      <c r="D672" t="s">
        <v>21</v>
      </c>
      <c r="E672">
        <v>152.6</v>
      </c>
      <c r="F672">
        <v>43</v>
      </c>
      <c r="G672" t="s">
        <v>16</v>
      </c>
      <c r="H672">
        <v>1200.4000000000001</v>
      </c>
      <c r="I672">
        <v>1430.45</v>
      </c>
      <c r="J672" t="s">
        <v>30</v>
      </c>
      <c r="K672">
        <v>0.08</v>
      </c>
      <c r="L672" t="s">
        <v>27</v>
      </c>
      <c r="M672" t="s">
        <v>22</v>
      </c>
      <c r="N672" t="s">
        <v>47</v>
      </c>
      <c r="O672">
        <f>Table2[[#This Row],[Unit_Cost]]*Table2[[#This Row],[Quantity_Sold]]</f>
        <v>51617.200000000004</v>
      </c>
      <c r="P672">
        <f t="shared" si="10"/>
        <v>-51464.600000000006</v>
      </c>
      <c r="Q672" s="3">
        <f>Table2[[#This Row],[Gross_Profit]]/Table2[[#This Row],[Sales_Amount]]</f>
        <v>-337.25163826998693</v>
      </c>
      <c r="R672" t="str">
        <f>TEXT(Table2[[#This Row],[Sale_Date]],"mmmm")</f>
        <v>November</v>
      </c>
      <c r="S672" s="4">
        <f>YEAR(Table2[[#This Row],[Sale_Date]])</f>
        <v>2023</v>
      </c>
    </row>
    <row r="673" spans="1:19" x14ac:dyDescent="0.35">
      <c r="A673">
        <v>1029</v>
      </c>
      <c r="B673" s="1">
        <v>45096</v>
      </c>
      <c r="C673" t="s">
        <v>38</v>
      </c>
      <c r="D673" t="s">
        <v>25</v>
      </c>
      <c r="E673">
        <v>8064.5</v>
      </c>
      <c r="F673">
        <v>27</v>
      </c>
      <c r="G673" t="s">
        <v>26</v>
      </c>
      <c r="H673">
        <v>3196.38</v>
      </c>
      <c r="I673">
        <v>3596.64</v>
      </c>
      <c r="J673" t="s">
        <v>30</v>
      </c>
      <c r="K673">
        <v>0.01</v>
      </c>
      <c r="L673" t="s">
        <v>18</v>
      </c>
      <c r="M673" t="s">
        <v>22</v>
      </c>
      <c r="N673" t="s">
        <v>39</v>
      </c>
      <c r="O673">
        <f>Table2[[#This Row],[Unit_Cost]]*Table2[[#This Row],[Quantity_Sold]]</f>
        <v>86302.260000000009</v>
      </c>
      <c r="P673">
        <f t="shared" si="10"/>
        <v>-78237.760000000009</v>
      </c>
      <c r="Q673" s="3">
        <f>Table2[[#This Row],[Gross_Profit]]/Table2[[#This Row],[Sales_Amount]]</f>
        <v>-9.7015016430032865</v>
      </c>
      <c r="R673" t="str">
        <f>TEXT(Table2[[#This Row],[Sale_Date]],"mmmm")</f>
        <v>June</v>
      </c>
      <c r="S673" s="4">
        <f>YEAR(Table2[[#This Row],[Sale_Date]])</f>
        <v>2023</v>
      </c>
    </row>
    <row r="674" spans="1:19" x14ac:dyDescent="0.35">
      <c r="A674">
        <v>1037</v>
      </c>
      <c r="B674" s="1">
        <v>44935</v>
      </c>
      <c r="C674" t="s">
        <v>33</v>
      </c>
      <c r="D674" t="s">
        <v>15</v>
      </c>
      <c r="E674">
        <v>7750.81</v>
      </c>
      <c r="F674">
        <v>41</v>
      </c>
      <c r="G674" t="s">
        <v>29</v>
      </c>
      <c r="H674">
        <v>4965.07</v>
      </c>
      <c r="I674">
        <v>5243.13</v>
      </c>
      <c r="J674" t="s">
        <v>30</v>
      </c>
      <c r="K674">
        <v>0.01</v>
      </c>
      <c r="L674" t="s">
        <v>31</v>
      </c>
      <c r="M674" t="s">
        <v>19</v>
      </c>
      <c r="N674" t="s">
        <v>53</v>
      </c>
      <c r="O674">
        <f>Table2[[#This Row],[Unit_Cost]]*Table2[[#This Row],[Quantity_Sold]]</f>
        <v>203567.87</v>
      </c>
      <c r="P674">
        <f t="shared" si="10"/>
        <v>-195817.06</v>
      </c>
      <c r="Q674" s="3">
        <f>Table2[[#This Row],[Gross_Profit]]/Table2[[#This Row],[Sales_Amount]]</f>
        <v>-25.264076915832021</v>
      </c>
      <c r="R674" t="str">
        <f>TEXT(Table2[[#This Row],[Sale_Date]],"mmmm")</f>
        <v>January</v>
      </c>
      <c r="S674" s="4">
        <f>YEAR(Table2[[#This Row],[Sale_Date]])</f>
        <v>2023</v>
      </c>
    </row>
    <row r="675" spans="1:19" x14ac:dyDescent="0.35">
      <c r="A675">
        <v>1038</v>
      </c>
      <c r="B675" s="1">
        <v>44966</v>
      </c>
      <c r="C675" t="s">
        <v>42</v>
      </c>
      <c r="D675" t="s">
        <v>34</v>
      </c>
      <c r="E675">
        <v>5529.35</v>
      </c>
      <c r="F675">
        <v>16</v>
      </c>
      <c r="G675" t="s">
        <v>16</v>
      </c>
      <c r="H675">
        <v>3899.7</v>
      </c>
      <c r="I675">
        <v>4228.18</v>
      </c>
      <c r="J675" t="s">
        <v>30</v>
      </c>
      <c r="K675">
        <v>0.27</v>
      </c>
      <c r="L675" t="s">
        <v>18</v>
      </c>
      <c r="M675" t="s">
        <v>22</v>
      </c>
      <c r="N675" t="s">
        <v>52</v>
      </c>
      <c r="O675">
        <f>Table2[[#This Row],[Unit_Cost]]*Table2[[#This Row],[Quantity_Sold]]</f>
        <v>62395.199999999997</v>
      </c>
      <c r="P675">
        <f t="shared" si="10"/>
        <v>-56865.85</v>
      </c>
      <c r="Q675" s="3">
        <f>Table2[[#This Row],[Gross_Profit]]/Table2[[#This Row],[Sales_Amount]]</f>
        <v>-10.28436434662302</v>
      </c>
      <c r="R675" t="str">
        <f>TEXT(Table2[[#This Row],[Sale_Date]],"mmmm")</f>
        <v>February</v>
      </c>
      <c r="S675" s="4">
        <f>YEAR(Table2[[#This Row],[Sale_Date]])</f>
        <v>2023</v>
      </c>
    </row>
    <row r="676" spans="1:19" x14ac:dyDescent="0.35">
      <c r="A676">
        <v>1083</v>
      </c>
      <c r="B676" s="1">
        <v>44951</v>
      </c>
      <c r="C676" t="s">
        <v>24</v>
      </c>
      <c r="D676" t="s">
        <v>34</v>
      </c>
      <c r="E676">
        <v>757.99</v>
      </c>
      <c r="F676">
        <v>34</v>
      </c>
      <c r="G676" t="s">
        <v>29</v>
      </c>
      <c r="H676">
        <v>1167.9100000000001</v>
      </c>
      <c r="I676">
        <v>1547.26</v>
      </c>
      <c r="J676" t="s">
        <v>30</v>
      </c>
      <c r="K676">
        <v>0.11</v>
      </c>
      <c r="L676" t="s">
        <v>27</v>
      </c>
      <c r="M676" t="s">
        <v>19</v>
      </c>
      <c r="N676" t="s">
        <v>50</v>
      </c>
      <c r="O676">
        <f>Table2[[#This Row],[Unit_Cost]]*Table2[[#This Row],[Quantity_Sold]]</f>
        <v>39708.94</v>
      </c>
      <c r="P676">
        <f t="shared" si="10"/>
        <v>-38950.950000000004</v>
      </c>
      <c r="Q676" s="3">
        <f>Table2[[#This Row],[Gross_Profit]]/Table2[[#This Row],[Sales_Amount]]</f>
        <v>-51.387155503370764</v>
      </c>
      <c r="R676" t="str">
        <f>TEXT(Table2[[#This Row],[Sale_Date]],"mmmm")</f>
        <v>January</v>
      </c>
      <c r="S676" s="4">
        <f>YEAR(Table2[[#This Row],[Sale_Date]])</f>
        <v>2023</v>
      </c>
    </row>
    <row r="677" spans="1:19" x14ac:dyDescent="0.35">
      <c r="A677">
        <v>1008</v>
      </c>
      <c r="B677" s="1">
        <v>45187</v>
      </c>
      <c r="C677" t="s">
        <v>33</v>
      </c>
      <c r="D677" t="s">
        <v>25</v>
      </c>
      <c r="E677">
        <v>7688.5</v>
      </c>
      <c r="F677">
        <v>32</v>
      </c>
      <c r="G677" t="s">
        <v>26</v>
      </c>
      <c r="H677">
        <v>921.32</v>
      </c>
      <c r="I677">
        <v>1236.0999999999999</v>
      </c>
      <c r="J677" t="s">
        <v>30</v>
      </c>
      <c r="K677">
        <v>0.12</v>
      </c>
      <c r="L677" t="s">
        <v>31</v>
      </c>
      <c r="M677" t="s">
        <v>19</v>
      </c>
      <c r="N677" t="s">
        <v>44</v>
      </c>
      <c r="O677">
        <f>Table2[[#This Row],[Unit_Cost]]*Table2[[#This Row],[Quantity_Sold]]</f>
        <v>29482.240000000002</v>
      </c>
      <c r="P677">
        <f t="shared" si="10"/>
        <v>-21793.74</v>
      </c>
      <c r="Q677" s="3">
        <f>Table2[[#This Row],[Gross_Profit]]/Table2[[#This Row],[Sales_Amount]]</f>
        <v>-2.8345893217142488</v>
      </c>
      <c r="R677" t="str">
        <f>TEXT(Table2[[#This Row],[Sale_Date]],"mmmm")</f>
        <v>September</v>
      </c>
      <c r="S677" s="4">
        <f>YEAR(Table2[[#This Row],[Sale_Date]])</f>
        <v>2023</v>
      </c>
    </row>
    <row r="678" spans="1:19" x14ac:dyDescent="0.35">
      <c r="A678">
        <v>1065</v>
      </c>
      <c r="B678" s="1">
        <v>45152</v>
      </c>
      <c r="C678" t="s">
        <v>14</v>
      </c>
      <c r="D678" t="s">
        <v>21</v>
      </c>
      <c r="E678">
        <v>5878.76</v>
      </c>
      <c r="F678">
        <v>26</v>
      </c>
      <c r="G678" t="s">
        <v>29</v>
      </c>
      <c r="H678">
        <v>4337.8500000000004</v>
      </c>
      <c r="I678">
        <v>4612.49</v>
      </c>
      <c r="J678" t="s">
        <v>17</v>
      </c>
      <c r="K678">
        <v>0.01</v>
      </c>
      <c r="L678" t="s">
        <v>18</v>
      </c>
      <c r="M678" t="s">
        <v>22</v>
      </c>
      <c r="N678" t="s">
        <v>23</v>
      </c>
      <c r="O678">
        <f>Table2[[#This Row],[Unit_Cost]]*Table2[[#This Row],[Quantity_Sold]]</f>
        <v>112784.1</v>
      </c>
      <c r="P678">
        <f t="shared" si="10"/>
        <v>-106905.34000000001</v>
      </c>
      <c r="Q678" s="3">
        <f>Table2[[#This Row],[Gross_Profit]]/Table2[[#This Row],[Sales_Amount]]</f>
        <v>-18.185015207288615</v>
      </c>
      <c r="R678" t="str">
        <f>TEXT(Table2[[#This Row],[Sale_Date]],"mmmm")</f>
        <v>August</v>
      </c>
      <c r="S678" s="4">
        <f>YEAR(Table2[[#This Row],[Sale_Date]])</f>
        <v>2023</v>
      </c>
    </row>
    <row r="679" spans="1:19" x14ac:dyDescent="0.35">
      <c r="A679">
        <v>1086</v>
      </c>
      <c r="B679" s="1">
        <v>45050</v>
      </c>
      <c r="C679" t="s">
        <v>14</v>
      </c>
      <c r="D679" t="s">
        <v>21</v>
      </c>
      <c r="E679">
        <v>7841.4</v>
      </c>
      <c r="F679">
        <v>25</v>
      </c>
      <c r="G679" t="s">
        <v>26</v>
      </c>
      <c r="H679">
        <v>2248.71</v>
      </c>
      <c r="I679">
        <v>2626.02</v>
      </c>
      <c r="J679" t="s">
        <v>30</v>
      </c>
      <c r="K679">
        <v>0.08</v>
      </c>
      <c r="L679" t="s">
        <v>27</v>
      </c>
      <c r="M679" t="s">
        <v>19</v>
      </c>
      <c r="N679" t="s">
        <v>23</v>
      </c>
      <c r="O679">
        <f>Table2[[#This Row],[Unit_Cost]]*Table2[[#This Row],[Quantity_Sold]]</f>
        <v>56217.75</v>
      </c>
      <c r="P679">
        <f t="shared" si="10"/>
        <v>-48376.35</v>
      </c>
      <c r="Q679" s="3">
        <f>Table2[[#This Row],[Gross_Profit]]/Table2[[#This Row],[Sales_Amount]]</f>
        <v>-6.1693511362766857</v>
      </c>
      <c r="R679" t="str">
        <f>TEXT(Table2[[#This Row],[Sale_Date]],"mmmm")</f>
        <v>May</v>
      </c>
      <c r="S679" s="4">
        <f>YEAR(Table2[[#This Row],[Sale_Date]])</f>
        <v>2023</v>
      </c>
    </row>
    <row r="680" spans="1:19" x14ac:dyDescent="0.35">
      <c r="A680">
        <v>1017</v>
      </c>
      <c r="B680" s="1">
        <v>44964</v>
      </c>
      <c r="C680" t="s">
        <v>33</v>
      </c>
      <c r="D680" t="s">
        <v>21</v>
      </c>
      <c r="E680">
        <v>7542.3</v>
      </c>
      <c r="F680">
        <v>2</v>
      </c>
      <c r="G680" t="s">
        <v>26</v>
      </c>
      <c r="H680">
        <v>728.41</v>
      </c>
      <c r="I680">
        <v>1094.92</v>
      </c>
      <c r="J680" t="s">
        <v>30</v>
      </c>
      <c r="K680">
        <v>0.24</v>
      </c>
      <c r="L680" t="s">
        <v>18</v>
      </c>
      <c r="M680" t="s">
        <v>22</v>
      </c>
      <c r="N680" t="s">
        <v>37</v>
      </c>
      <c r="O680">
        <f>Table2[[#This Row],[Unit_Cost]]*Table2[[#This Row],[Quantity_Sold]]</f>
        <v>1456.82</v>
      </c>
      <c r="P680">
        <f t="shared" si="10"/>
        <v>6085.4800000000005</v>
      </c>
      <c r="Q680" s="3">
        <f>Table2[[#This Row],[Gross_Profit]]/Table2[[#This Row],[Sales_Amount]]</f>
        <v>0.80684671784468931</v>
      </c>
      <c r="R680" t="str">
        <f>TEXT(Table2[[#This Row],[Sale_Date]],"mmmm")</f>
        <v>February</v>
      </c>
      <c r="S680" s="4">
        <f>YEAR(Table2[[#This Row],[Sale_Date]])</f>
        <v>2023</v>
      </c>
    </row>
    <row r="681" spans="1:19" x14ac:dyDescent="0.35">
      <c r="A681">
        <v>1071</v>
      </c>
      <c r="B681" s="1">
        <v>45254</v>
      </c>
      <c r="C681" t="s">
        <v>42</v>
      </c>
      <c r="D681" t="s">
        <v>21</v>
      </c>
      <c r="E681">
        <v>8049.72</v>
      </c>
      <c r="F681">
        <v>12</v>
      </c>
      <c r="G681" t="s">
        <v>26</v>
      </c>
      <c r="H681">
        <v>4317.95</v>
      </c>
      <c r="I681">
        <v>4636.59</v>
      </c>
      <c r="J681" t="s">
        <v>30</v>
      </c>
      <c r="K681">
        <v>0.18</v>
      </c>
      <c r="L681" t="s">
        <v>31</v>
      </c>
      <c r="M681" t="s">
        <v>22</v>
      </c>
      <c r="N681" t="s">
        <v>51</v>
      </c>
      <c r="O681">
        <f>Table2[[#This Row],[Unit_Cost]]*Table2[[#This Row],[Quantity_Sold]]</f>
        <v>51815.399999999994</v>
      </c>
      <c r="P681">
        <f t="shared" si="10"/>
        <v>-43765.679999999993</v>
      </c>
      <c r="Q681" s="3">
        <f>Table2[[#This Row],[Gross_Profit]]/Table2[[#This Row],[Sales_Amount]]</f>
        <v>-5.436919545027652</v>
      </c>
      <c r="R681" t="str">
        <f>TEXT(Table2[[#This Row],[Sale_Date]],"mmmm")</f>
        <v>November</v>
      </c>
      <c r="S681" s="4">
        <f>YEAR(Table2[[#This Row],[Sale_Date]])</f>
        <v>2023</v>
      </c>
    </row>
    <row r="682" spans="1:19" x14ac:dyDescent="0.35">
      <c r="A682">
        <v>1089</v>
      </c>
      <c r="B682" s="1">
        <v>45177</v>
      </c>
      <c r="C682" t="s">
        <v>14</v>
      </c>
      <c r="D682" t="s">
        <v>21</v>
      </c>
      <c r="E682">
        <v>5228.28</v>
      </c>
      <c r="F682">
        <v>40</v>
      </c>
      <c r="G682" t="s">
        <v>16</v>
      </c>
      <c r="H682">
        <v>4089.66</v>
      </c>
      <c r="I682">
        <v>4275.96</v>
      </c>
      <c r="J682" t="s">
        <v>30</v>
      </c>
      <c r="K682">
        <v>0.23</v>
      </c>
      <c r="L682" t="s">
        <v>31</v>
      </c>
      <c r="M682" t="s">
        <v>19</v>
      </c>
      <c r="N682" t="s">
        <v>23</v>
      </c>
      <c r="O682">
        <f>Table2[[#This Row],[Unit_Cost]]*Table2[[#This Row],[Quantity_Sold]]</f>
        <v>163586.4</v>
      </c>
      <c r="P682">
        <f t="shared" si="10"/>
        <v>-158358.12</v>
      </c>
      <c r="Q682" s="3">
        <f>Table2[[#This Row],[Gross_Profit]]/Table2[[#This Row],[Sales_Amount]]</f>
        <v>-30.28876035713466</v>
      </c>
      <c r="R682" t="str">
        <f>TEXT(Table2[[#This Row],[Sale_Date]],"mmmm")</f>
        <v>September</v>
      </c>
      <c r="S682" s="4">
        <f>YEAR(Table2[[#This Row],[Sale_Date]])</f>
        <v>2023</v>
      </c>
    </row>
    <row r="683" spans="1:19" x14ac:dyDescent="0.35">
      <c r="A683">
        <v>1045</v>
      </c>
      <c r="B683" s="1">
        <v>45102</v>
      </c>
      <c r="C683" t="s">
        <v>38</v>
      </c>
      <c r="D683" t="s">
        <v>25</v>
      </c>
      <c r="E683">
        <v>1489.21</v>
      </c>
      <c r="F683">
        <v>9</v>
      </c>
      <c r="G683" t="s">
        <v>29</v>
      </c>
      <c r="H683">
        <v>4920.34</v>
      </c>
      <c r="I683">
        <v>5129.1899999999996</v>
      </c>
      <c r="J683" t="s">
        <v>17</v>
      </c>
      <c r="K683">
        <v>0.13</v>
      </c>
      <c r="L683" t="s">
        <v>31</v>
      </c>
      <c r="M683" t="s">
        <v>19</v>
      </c>
      <c r="N683" t="s">
        <v>39</v>
      </c>
      <c r="O683">
        <f>Table2[[#This Row],[Unit_Cost]]*Table2[[#This Row],[Quantity_Sold]]</f>
        <v>44283.06</v>
      </c>
      <c r="P683">
        <f t="shared" si="10"/>
        <v>-42793.85</v>
      </c>
      <c r="Q683" s="3">
        <f>Table2[[#This Row],[Gross_Profit]]/Table2[[#This Row],[Sales_Amount]]</f>
        <v>-28.735940532228494</v>
      </c>
      <c r="R683" t="str">
        <f>TEXT(Table2[[#This Row],[Sale_Date]],"mmmm")</f>
        <v>June</v>
      </c>
      <c r="S683" s="4">
        <f>YEAR(Table2[[#This Row],[Sale_Date]])</f>
        <v>2023</v>
      </c>
    </row>
    <row r="684" spans="1:19" x14ac:dyDescent="0.35">
      <c r="A684">
        <v>1004</v>
      </c>
      <c r="B684" s="1">
        <v>45016</v>
      </c>
      <c r="C684" t="s">
        <v>33</v>
      </c>
      <c r="D684" t="s">
        <v>34</v>
      </c>
      <c r="E684">
        <v>6744.46</v>
      </c>
      <c r="F684">
        <v>12</v>
      </c>
      <c r="G684" t="s">
        <v>29</v>
      </c>
      <c r="H684">
        <v>4553.2299999999996</v>
      </c>
      <c r="I684">
        <v>5038.74</v>
      </c>
      <c r="J684" t="s">
        <v>30</v>
      </c>
      <c r="K684">
        <v>0.09</v>
      </c>
      <c r="L684" t="s">
        <v>31</v>
      </c>
      <c r="M684" t="s">
        <v>22</v>
      </c>
      <c r="N684" t="s">
        <v>36</v>
      </c>
      <c r="O684">
        <f>Table2[[#This Row],[Unit_Cost]]*Table2[[#This Row],[Quantity_Sold]]</f>
        <v>54638.759999999995</v>
      </c>
      <c r="P684">
        <f t="shared" si="10"/>
        <v>-47894.299999999996</v>
      </c>
      <c r="Q684" s="3">
        <f>Table2[[#This Row],[Gross_Profit]]/Table2[[#This Row],[Sales_Amount]]</f>
        <v>-7.1012801617920482</v>
      </c>
      <c r="R684" t="str">
        <f>TEXT(Table2[[#This Row],[Sale_Date]],"mmmm")</f>
        <v>March</v>
      </c>
      <c r="S684" s="4">
        <f>YEAR(Table2[[#This Row],[Sale_Date]])</f>
        <v>2023</v>
      </c>
    </row>
    <row r="685" spans="1:19" x14ac:dyDescent="0.3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c r="O685">
        <f>Table2[[#This Row],[Unit_Cost]]*Table2[[#This Row],[Quantity_Sold]]</f>
        <v>110925.35999999999</v>
      </c>
      <c r="P685">
        <f t="shared" si="10"/>
        <v>-104682.66999999998</v>
      </c>
      <c r="Q685" s="3">
        <f>Table2[[#This Row],[Gross_Profit]]/Table2[[#This Row],[Sales_Amount]]</f>
        <v>-16.768840035305292</v>
      </c>
      <c r="R685" t="str">
        <f>TEXT(Table2[[#This Row],[Sale_Date]],"mmmm")</f>
        <v>February</v>
      </c>
      <c r="S685" s="4">
        <f>YEAR(Table2[[#This Row],[Sale_Date]])</f>
        <v>2023</v>
      </c>
    </row>
    <row r="686" spans="1:19" x14ac:dyDescent="0.35">
      <c r="A686">
        <v>1070</v>
      </c>
      <c r="B686" s="1">
        <v>45242</v>
      </c>
      <c r="C686" t="s">
        <v>14</v>
      </c>
      <c r="D686" t="s">
        <v>25</v>
      </c>
      <c r="E686">
        <v>7448.31</v>
      </c>
      <c r="F686">
        <v>9</v>
      </c>
      <c r="G686" t="s">
        <v>35</v>
      </c>
      <c r="H686">
        <v>310.24</v>
      </c>
      <c r="I686">
        <v>451.81</v>
      </c>
      <c r="J686" t="s">
        <v>17</v>
      </c>
      <c r="K686">
        <v>0.1</v>
      </c>
      <c r="L686" t="s">
        <v>18</v>
      </c>
      <c r="M686" t="s">
        <v>22</v>
      </c>
      <c r="N686" t="s">
        <v>32</v>
      </c>
      <c r="O686">
        <f>Table2[[#This Row],[Unit_Cost]]*Table2[[#This Row],[Quantity_Sold]]</f>
        <v>2792.16</v>
      </c>
      <c r="P686">
        <f t="shared" si="10"/>
        <v>4656.1500000000005</v>
      </c>
      <c r="Q686" s="3">
        <f>Table2[[#This Row],[Gross_Profit]]/Table2[[#This Row],[Sales_Amount]]</f>
        <v>0.62512838482823629</v>
      </c>
      <c r="R686" t="str">
        <f>TEXT(Table2[[#This Row],[Sale_Date]],"mmmm")</f>
        <v>November</v>
      </c>
      <c r="S686" s="4">
        <f>YEAR(Table2[[#This Row],[Sale_Date]])</f>
        <v>2023</v>
      </c>
    </row>
    <row r="687" spans="1:19" x14ac:dyDescent="0.35">
      <c r="A687">
        <v>1031</v>
      </c>
      <c r="B687" s="1">
        <v>45102</v>
      </c>
      <c r="C687" t="s">
        <v>42</v>
      </c>
      <c r="D687" t="s">
        <v>21</v>
      </c>
      <c r="E687">
        <v>1781.82</v>
      </c>
      <c r="F687">
        <v>10</v>
      </c>
      <c r="G687" t="s">
        <v>35</v>
      </c>
      <c r="H687">
        <v>566.86</v>
      </c>
      <c r="I687">
        <v>818.14</v>
      </c>
      <c r="J687" t="s">
        <v>17</v>
      </c>
      <c r="K687">
        <v>0.25</v>
      </c>
      <c r="L687" t="s">
        <v>31</v>
      </c>
      <c r="M687" t="s">
        <v>22</v>
      </c>
      <c r="N687" t="s">
        <v>51</v>
      </c>
      <c r="O687">
        <f>Table2[[#This Row],[Unit_Cost]]*Table2[[#This Row],[Quantity_Sold]]</f>
        <v>5668.6</v>
      </c>
      <c r="P687">
        <f t="shared" si="10"/>
        <v>-3886.7800000000007</v>
      </c>
      <c r="Q687" s="3">
        <f>Table2[[#This Row],[Gross_Profit]]/Table2[[#This Row],[Sales_Amount]]</f>
        <v>-2.1813538965776571</v>
      </c>
      <c r="R687" t="str">
        <f>TEXT(Table2[[#This Row],[Sale_Date]],"mmmm")</f>
        <v>June</v>
      </c>
      <c r="S687" s="4">
        <f>YEAR(Table2[[#This Row],[Sale_Date]])</f>
        <v>2023</v>
      </c>
    </row>
    <row r="688" spans="1:19" x14ac:dyDescent="0.35">
      <c r="A688">
        <v>1019</v>
      </c>
      <c r="B688" s="1">
        <v>45210</v>
      </c>
      <c r="C688" t="s">
        <v>38</v>
      </c>
      <c r="D688" t="s">
        <v>25</v>
      </c>
      <c r="E688">
        <v>2030.25</v>
      </c>
      <c r="F688">
        <v>32</v>
      </c>
      <c r="G688" t="s">
        <v>35</v>
      </c>
      <c r="H688">
        <v>2866.47</v>
      </c>
      <c r="I688">
        <v>3286.47</v>
      </c>
      <c r="J688" t="s">
        <v>30</v>
      </c>
      <c r="K688">
        <v>0.09</v>
      </c>
      <c r="L688" t="s">
        <v>31</v>
      </c>
      <c r="M688" t="s">
        <v>19</v>
      </c>
      <c r="N688" t="s">
        <v>39</v>
      </c>
      <c r="O688">
        <f>Table2[[#This Row],[Unit_Cost]]*Table2[[#This Row],[Quantity_Sold]]</f>
        <v>91727.039999999994</v>
      </c>
      <c r="P688">
        <f t="shared" si="10"/>
        <v>-89696.79</v>
      </c>
      <c r="Q688" s="3">
        <f>Table2[[#This Row],[Gross_Profit]]/Table2[[#This Row],[Sales_Amount]]</f>
        <v>-44.180169929811598</v>
      </c>
      <c r="R688" t="str">
        <f>TEXT(Table2[[#This Row],[Sale_Date]],"mmmm")</f>
        <v>October</v>
      </c>
      <c r="S688" s="4">
        <f>YEAR(Table2[[#This Row],[Sale_Date]])</f>
        <v>2023</v>
      </c>
    </row>
    <row r="689" spans="1:19" x14ac:dyDescent="0.35">
      <c r="A689">
        <v>1061</v>
      </c>
      <c r="B689" s="1">
        <v>45007</v>
      </c>
      <c r="C689" t="s">
        <v>42</v>
      </c>
      <c r="D689" t="s">
        <v>34</v>
      </c>
      <c r="E689">
        <v>8915.0499999999993</v>
      </c>
      <c r="F689">
        <v>34</v>
      </c>
      <c r="G689" t="s">
        <v>29</v>
      </c>
      <c r="H689">
        <v>2680.82</v>
      </c>
      <c r="I689">
        <v>2771.02</v>
      </c>
      <c r="J689" t="s">
        <v>30</v>
      </c>
      <c r="K689">
        <v>0.2</v>
      </c>
      <c r="L689" t="s">
        <v>27</v>
      </c>
      <c r="M689" t="s">
        <v>19</v>
      </c>
      <c r="N689" t="s">
        <v>52</v>
      </c>
      <c r="O689">
        <f>Table2[[#This Row],[Unit_Cost]]*Table2[[#This Row],[Quantity_Sold]]</f>
        <v>91147.88</v>
      </c>
      <c r="P689">
        <f t="shared" si="10"/>
        <v>-82232.83</v>
      </c>
      <c r="Q689" s="3">
        <f>Table2[[#This Row],[Gross_Profit]]/Table2[[#This Row],[Sales_Amount]]</f>
        <v>-9.2240458550428777</v>
      </c>
      <c r="R689" t="str">
        <f>TEXT(Table2[[#This Row],[Sale_Date]],"mmmm")</f>
        <v>March</v>
      </c>
      <c r="S689" s="4">
        <f>YEAR(Table2[[#This Row],[Sale_Date]])</f>
        <v>2023</v>
      </c>
    </row>
    <row r="690" spans="1:19" x14ac:dyDescent="0.35">
      <c r="A690">
        <v>1054</v>
      </c>
      <c r="B690" s="1">
        <v>45040</v>
      </c>
      <c r="C690" t="s">
        <v>24</v>
      </c>
      <c r="D690" t="s">
        <v>15</v>
      </c>
      <c r="E690">
        <v>7524.78</v>
      </c>
      <c r="F690">
        <v>48</v>
      </c>
      <c r="G690" t="s">
        <v>26</v>
      </c>
      <c r="H690">
        <v>2316.92</v>
      </c>
      <c r="I690">
        <v>2462.63</v>
      </c>
      <c r="J690" t="s">
        <v>30</v>
      </c>
      <c r="K690">
        <v>0.04</v>
      </c>
      <c r="L690" t="s">
        <v>31</v>
      </c>
      <c r="M690" t="s">
        <v>19</v>
      </c>
      <c r="N690" t="s">
        <v>45</v>
      </c>
      <c r="O690">
        <f>Table2[[#This Row],[Unit_Cost]]*Table2[[#This Row],[Quantity_Sold]]</f>
        <v>111212.16</v>
      </c>
      <c r="P690">
        <f t="shared" si="10"/>
        <v>-103687.38</v>
      </c>
      <c r="Q690" s="3">
        <f>Table2[[#This Row],[Gross_Profit]]/Table2[[#This Row],[Sales_Amount]]</f>
        <v>-13.779456675145321</v>
      </c>
      <c r="R690" t="str">
        <f>TEXT(Table2[[#This Row],[Sale_Date]],"mmmm")</f>
        <v>April</v>
      </c>
      <c r="S690" s="4">
        <f>YEAR(Table2[[#This Row],[Sale_Date]])</f>
        <v>2023</v>
      </c>
    </row>
    <row r="691" spans="1:19" x14ac:dyDescent="0.35">
      <c r="A691">
        <v>1039</v>
      </c>
      <c r="B691" s="1">
        <v>44966</v>
      </c>
      <c r="C691" t="s">
        <v>24</v>
      </c>
      <c r="D691" t="s">
        <v>25</v>
      </c>
      <c r="E691">
        <v>9091.4599999999991</v>
      </c>
      <c r="F691">
        <v>20</v>
      </c>
      <c r="G691" t="s">
        <v>26</v>
      </c>
      <c r="H691">
        <v>2014.11</v>
      </c>
      <c r="I691">
        <v>2056.35</v>
      </c>
      <c r="J691" t="s">
        <v>17</v>
      </c>
      <c r="K691">
        <v>0.21</v>
      </c>
      <c r="L691" t="s">
        <v>27</v>
      </c>
      <c r="M691" t="s">
        <v>22</v>
      </c>
      <c r="N691" t="s">
        <v>28</v>
      </c>
      <c r="O691">
        <f>Table2[[#This Row],[Unit_Cost]]*Table2[[#This Row],[Quantity_Sold]]</f>
        <v>40282.199999999997</v>
      </c>
      <c r="P691">
        <f t="shared" si="10"/>
        <v>-31190.739999999998</v>
      </c>
      <c r="Q691" s="3">
        <f>Table2[[#This Row],[Gross_Profit]]/Table2[[#This Row],[Sales_Amount]]</f>
        <v>-3.4307734951261954</v>
      </c>
      <c r="R691" t="str">
        <f>TEXT(Table2[[#This Row],[Sale_Date]],"mmmm")</f>
        <v>February</v>
      </c>
      <c r="S691" s="4">
        <f>YEAR(Table2[[#This Row],[Sale_Date]])</f>
        <v>2023</v>
      </c>
    </row>
    <row r="692" spans="1:19" x14ac:dyDescent="0.35">
      <c r="A692">
        <v>1091</v>
      </c>
      <c r="B692" s="1">
        <v>45227</v>
      </c>
      <c r="C692" t="s">
        <v>14</v>
      </c>
      <c r="D692" t="s">
        <v>21</v>
      </c>
      <c r="E692">
        <v>7611.28</v>
      </c>
      <c r="F692">
        <v>39</v>
      </c>
      <c r="G692" t="s">
        <v>16</v>
      </c>
      <c r="H692">
        <v>2184.4899999999998</v>
      </c>
      <c r="I692">
        <v>2540.4199999999901</v>
      </c>
      <c r="J692" t="s">
        <v>17</v>
      </c>
      <c r="K692">
        <v>0.27</v>
      </c>
      <c r="L692" t="s">
        <v>27</v>
      </c>
      <c r="M692" t="s">
        <v>19</v>
      </c>
      <c r="N692" t="s">
        <v>23</v>
      </c>
      <c r="O692">
        <f>Table2[[#This Row],[Unit_Cost]]*Table2[[#This Row],[Quantity_Sold]]</f>
        <v>85195.109999999986</v>
      </c>
      <c r="P692">
        <f t="shared" si="10"/>
        <v>-77583.829999999987</v>
      </c>
      <c r="Q692" s="3">
        <f>Table2[[#This Row],[Gross_Profit]]/Table2[[#This Row],[Sales_Amount]]</f>
        <v>-10.19326972598564</v>
      </c>
      <c r="R692" t="str">
        <f>TEXT(Table2[[#This Row],[Sale_Date]],"mmmm")</f>
        <v>October</v>
      </c>
      <c r="S692" s="4">
        <f>YEAR(Table2[[#This Row],[Sale_Date]])</f>
        <v>2023</v>
      </c>
    </row>
    <row r="693" spans="1:19" x14ac:dyDescent="0.35">
      <c r="A693">
        <v>1074</v>
      </c>
      <c r="B693" s="1">
        <v>45150</v>
      </c>
      <c r="C693" t="s">
        <v>14</v>
      </c>
      <c r="D693" t="s">
        <v>34</v>
      </c>
      <c r="E693">
        <v>6011.84</v>
      </c>
      <c r="F693">
        <v>2</v>
      </c>
      <c r="G693" t="s">
        <v>26</v>
      </c>
      <c r="H693">
        <v>2868.02</v>
      </c>
      <c r="I693">
        <v>2994.74</v>
      </c>
      <c r="J693" t="s">
        <v>17</v>
      </c>
      <c r="K693">
        <v>0.18</v>
      </c>
      <c r="L693" t="s">
        <v>27</v>
      </c>
      <c r="M693" t="s">
        <v>19</v>
      </c>
      <c r="N693" t="s">
        <v>46</v>
      </c>
      <c r="O693">
        <f>Table2[[#This Row],[Unit_Cost]]*Table2[[#This Row],[Quantity_Sold]]</f>
        <v>5736.04</v>
      </c>
      <c r="P693">
        <f t="shared" si="10"/>
        <v>275.80000000000018</v>
      </c>
      <c r="Q693" s="3">
        <f>Table2[[#This Row],[Gross_Profit]]/Table2[[#This Row],[Sales_Amount]]</f>
        <v>4.5876137754830494E-2</v>
      </c>
      <c r="R693" t="str">
        <f>TEXT(Table2[[#This Row],[Sale_Date]],"mmmm")</f>
        <v>August</v>
      </c>
      <c r="S693" s="4">
        <f>YEAR(Table2[[#This Row],[Sale_Date]])</f>
        <v>2023</v>
      </c>
    </row>
    <row r="694" spans="1:19" x14ac:dyDescent="0.35">
      <c r="A694">
        <v>1090</v>
      </c>
      <c r="B694" s="1">
        <v>45244</v>
      </c>
      <c r="C694" t="s">
        <v>14</v>
      </c>
      <c r="D694" t="s">
        <v>34</v>
      </c>
      <c r="E694">
        <v>6575.91</v>
      </c>
      <c r="F694">
        <v>1</v>
      </c>
      <c r="G694" t="s">
        <v>29</v>
      </c>
      <c r="H694">
        <v>60.28</v>
      </c>
      <c r="I694">
        <v>260.73</v>
      </c>
      <c r="J694" t="s">
        <v>17</v>
      </c>
      <c r="K694">
        <v>0.17</v>
      </c>
      <c r="L694" t="s">
        <v>18</v>
      </c>
      <c r="M694" t="s">
        <v>19</v>
      </c>
      <c r="N694" t="s">
        <v>46</v>
      </c>
      <c r="O694">
        <f>Table2[[#This Row],[Unit_Cost]]*Table2[[#This Row],[Quantity_Sold]]</f>
        <v>60.28</v>
      </c>
      <c r="P694">
        <f t="shared" si="10"/>
        <v>6515.63</v>
      </c>
      <c r="Q694" s="3">
        <f>Table2[[#This Row],[Gross_Profit]]/Table2[[#This Row],[Sales_Amount]]</f>
        <v>0.99083320787541196</v>
      </c>
      <c r="R694" t="str">
        <f>TEXT(Table2[[#This Row],[Sale_Date]],"mmmm")</f>
        <v>November</v>
      </c>
      <c r="S694" s="4">
        <f>YEAR(Table2[[#This Row],[Sale_Date]])</f>
        <v>2023</v>
      </c>
    </row>
    <row r="695" spans="1:19" x14ac:dyDescent="0.3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c r="O695">
        <f>Table2[[#This Row],[Unit_Cost]]*Table2[[#This Row],[Quantity_Sold]]</f>
        <v>48258.36</v>
      </c>
      <c r="P695">
        <f t="shared" si="10"/>
        <v>-39355.99</v>
      </c>
      <c r="Q695" s="3">
        <f>Table2[[#This Row],[Gross_Profit]]/Table2[[#This Row],[Sales_Amount]]</f>
        <v>-4.4208441122981847</v>
      </c>
      <c r="R695" t="str">
        <f>TEXT(Table2[[#This Row],[Sale_Date]],"mmmm")</f>
        <v>December</v>
      </c>
      <c r="S695" s="4">
        <f>YEAR(Table2[[#This Row],[Sale_Date]])</f>
        <v>2023</v>
      </c>
    </row>
    <row r="696" spans="1:19" x14ac:dyDescent="0.35">
      <c r="A696">
        <v>1039</v>
      </c>
      <c r="B696" s="1">
        <v>45041</v>
      </c>
      <c r="C696" t="s">
        <v>42</v>
      </c>
      <c r="D696" t="s">
        <v>34</v>
      </c>
      <c r="E696">
        <v>5830.19</v>
      </c>
      <c r="F696">
        <v>24</v>
      </c>
      <c r="G696" t="s">
        <v>29</v>
      </c>
      <c r="H696">
        <v>2615.48</v>
      </c>
      <c r="I696">
        <v>3062.22</v>
      </c>
      <c r="J696" t="s">
        <v>30</v>
      </c>
      <c r="K696">
        <v>0.19</v>
      </c>
      <c r="L696" t="s">
        <v>27</v>
      </c>
      <c r="M696" t="s">
        <v>22</v>
      </c>
      <c r="N696" t="s">
        <v>52</v>
      </c>
      <c r="O696">
        <f>Table2[[#This Row],[Unit_Cost]]*Table2[[#This Row],[Quantity_Sold]]</f>
        <v>62771.520000000004</v>
      </c>
      <c r="P696">
        <f t="shared" si="10"/>
        <v>-56941.33</v>
      </c>
      <c r="Q696" s="3">
        <f>Table2[[#This Row],[Gross_Profit]]/Table2[[#This Row],[Sales_Amount]]</f>
        <v>-9.7666336774616269</v>
      </c>
      <c r="R696" t="str">
        <f>TEXT(Table2[[#This Row],[Sale_Date]],"mmmm")</f>
        <v>April</v>
      </c>
      <c r="S696" s="4">
        <f>YEAR(Table2[[#This Row],[Sale_Date]])</f>
        <v>2023</v>
      </c>
    </row>
    <row r="697" spans="1:19" x14ac:dyDescent="0.35">
      <c r="A697">
        <v>1067</v>
      </c>
      <c r="B697" s="1">
        <v>45112</v>
      </c>
      <c r="C697" t="s">
        <v>42</v>
      </c>
      <c r="D697" t="s">
        <v>21</v>
      </c>
      <c r="E697">
        <v>6360.67</v>
      </c>
      <c r="F697">
        <v>27</v>
      </c>
      <c r="G697" t="s">
        <v>16</v>
      </c>
      <c r="H697">
        <v>3624.97</v>
      </c>
      <c r="I697">
        <v>3836.52</v>
      </c>
      <c r="J697" t="s">
        <v>30</v>
      </c>
      <c r="K697">
        <v>0.08</v>
      </c>
      <c r="L697" t="s">
        <v>18</v>
      </c>
      <c r="M697" t="s">
        <v>19</v>
      </c>
      <c r="N697" t="s">
        <v>51</v>
      </c>
      <c r="O697">
        <f>Table2[[#This Row],[Unit_Cost]]*Table2[[#This Row],[Quantity_Sold]]</f>
        <v>97874.189999999988</v>
      </c>
      <c r="P697">
        <f t="shared" si="10"/>
        <v>-91513.51999999999</v>
      </c>
      <c r="Q697" s="3">
        <f>Table2[[#This Row],[Gross_Profit]]/Table2[[#This Row],[Sales_Amount]]</f>
        <v>-14.387402584947811</v>
      </c>
      <c r="R697" t="str">
        <f>TEXT(Table2[[#This Row],[Sale_Date]],"mmmm")</f>
        <v>July</v>
      </c>
      <c r="S697" s="4">
        <f>YEAR(Table2[[#This Row],[Sale_Date]])</f>
        <v>2023</v>
      </c>
    </row>
    <row r="698" spans="1:19" x14ac:dyDescent="0.35">
      <c r="A698">
        <v>1045</v>
      </c>
      <c r="B698" s="1">
        <v>45249</v>
      </c>
      <c r="C698" t="s">
        <v>14</v>
      </c>
      <c r="D698" t="s">
        <v>15</v>
      </c>
      <c r="E698">
        <v>1649.12</v>
      </c>
      <c r="F698">
        <v>2</v>
      </c>
      <c r="G698" t="s">
        <v>35</v>
      </c>
      <c r="H698">
        <v>912.08</v>
      </c>
      <c r="I698">
        <v>993.24</v>
      </c>
      <c r="J698" t="s">
        <v>17</v>
      </c>
      <c r="K698">
        <v>0.09</v>
      </c>
      <c r="L698" t="s">
        <v>31</v>
      </c>
      <c r="M698" t="s">
        <v>19</v>
      </c>
      <c r="N698" t="s">
        <v>20</v>
      </c>
      <c r="O698">
        <f>Table2[[#This Row],[Unit_Cost]]*Table2[[#This Row],[Quantity_Sold]]</f>
        <v>1824.16</v>
      </c>
      <c r="P698">
        <f t="shared" si="10"/>
        <v>-175.04000000000019</v>
      </c>
      <c r="Q698" s="3">
        <f>Table2[[#This Row],[Gross_Profit]]/Table2[[#This Row],[Sales_Amount]]</f>
        <v>-0.10614145726205504</v>
      </c>
      <c r="R698" t="str">
        <f>TEXT(Table2[[#This Row],[Sale_Date]],"mmmm")</f>
        <v>November</v>
      </c>
      <c r="S698" s="4">
        <f>YEAR(Table2[[#This Row],[Sale_Date]])</f>
        <v>2023</v>
      </c>
    </row>
    <row r="699" spans="1:19" x14ac:dyDescent="0.35">
      <c r="A699">
        <v>1013</v>
      </c>
      <c r="B699" s="1">
        <v>44982</v>
      </c>
      <c r="C699" t="s">
        <v>38</v>
      </c>
      <c r="D699" t="s">
        <v>34</v>
      </c>
      <c r="E699">
        <v>4791.82</v>
      </c>
      <c r="F699">
        <v>31</v>
      </c>
      <c r="G699" t="s">
        <v>26</v>
      </c>
      <c r="H699">
        <v>2757.06</v>
      </c>
      <c r="I699">
        <v>3023.97</v>
      </c>
      <c r="J699" t="s">
        <v>17</v>
      </c>
      <c r="K699">
        <v>0.21</v>
      </c>
      <c r="L699" t="s">
        <v>18</v>
      </c>
      <c r="M699" t="s">
        <v>19</v>
      </c>
      <c r="N699" t="s">
        <v>48</v>
      </c>
      <c r="O699">
        <f>Table2[[#This Row],[Unit_Cost]]*Table2[[#This Row],[Quantity_Sold]]</f>
        <v>85468.86</v>
      </c>
      <c r="P699">
        <f t="shared" si="10"/>
        <v>-80677.040000000008</v>
      </c>
      <c r="Q699" s="3">
        <f>Table2[[#This Row],[Gross_Profit]]/Table2[[#This Row],[Sales_Amount]]</f>
        <v>-16.836408713182049</v>
      </c>
      <c r="R699" t="str">
        <f>TEXT(Table2[[#This Row],[Sale_Date]],"mmmm")</f>
        <v>February</v>
      </c>
      <c r="S699" s="4">
        <f>YEAR(Table2[[#This Row],[Sale_Date]])</f>
        <v>2023</v>
      </c>
    </row>
    <row r="700" spans="1:19" x14ac:dyDescent="0.35">
      <c r="A700">
        <v>1092</v>
      </c>
      <c r="B700" s="1">
        <v>44966</v>
      </c>
      <c r="C700" t="s">
        <v>42</v>
      </c>
      <c r="D700" t="s">
        <v>25</v>
      </c>
      <c r="E700">
        <v>7192.33</v>
      </c>
      <c r="F700">
        <v>14</v>
      </c>
      <c r="G700" t="s">
        <v>29</v>
      </c>
      <c r="H700">
        <v>3586.58</v>
      </c>
      <c r="I700">
        <v>4068.43</v>
      </c>
      <c r="J700" t="s">
        <v>30</v>
      </c>
      <c r="K700">
        <v>0.22</v>
      </c>
      <c r="L700" t="s">
        <v>31</v>
      </c>
      <c r="M700" t="s">
        <v>19</v>
      </c>
      <c r="N700" t="s">
        <v>43</v>
      </c>
      <c r="O700">
        <f>Table2[[#This Row],[Unit_Cost]]*Table2[[#This Row],[Quantity_Sold]]</f>
        <v>50212.119999999995</v>
      </c>
      <c r="P700">
        <f t="shared" si="10"/>
        <v>-43019.789999999994</v>
      </c>
      <c r="Q700" s="3">
        <f>Table2[[#This Row],[Gross_Profit]]/Table2[[#This Row],[Sales_Amount]]</f>
        <v>-5.9813426247127142</v>
      </c>
      <c r="R700" t="str">
        <f>TEXT(Table2[[#This Row],[Sale_Date]],"mmmm")</f>
        <v>February</v>
      </c>
      <c r="S700" s="4">
        <f>YEAR(Table2[[#This Row],[Sale_Date]])</f>
        <v>2023</v>
      </c>
    </row>
    <row r="701" spans="1:19" x14ac:dyDescent="0.35">
      <c r="A701">
        <v>1058</v>
      </c>
      <c r="B701" s="1">
        <v>45280</v>
      </c>
      <c r="C701" t="s">
        <v>24</v>
      </c>
      <c r="D701" t="s">
        <v>15</v>
      </c>
      <c r="E701">
        <v>2782.33</v>
      </c>
      <c r="F701">
        <v>2</v>
      </c>
      <c r="G701" t="s">
        <v>29</v>
      </c>
      <c r="H701">
        <v>2250.91</v>
      </c>
      <c r="I701">
        <v>2558.6799999999998</v>
      </c>
      <c r="J701" t="s">
        <v>30</v>
      </c>
      <c r="K701">
        <v>0.09</v>
      </c>
      <c r="L701" t="s">
        <v>31</v>
      </c>
      <c r="M701" t="s">
        <v>22</v>
      </c>
      <c r="N701" t="s">
        <v>45</v>
      </c>
      <c r="O701">
        <f>Table2[[#This Row],[Unit_Cost]]*Table2[[#This Row],[Quantity_Sold]]</f>
        <v>4501.82</v>
      </c>
      <c r="P701">
        <f t="shared" si="10"/>
        <v>-1719.4899999999998</v>
      </c>
      <c r="Q701" s="3">
        <f>Table2[[#This Row],[Gross_Profit]]/Table2[[#This Row],[Sales_Amount]]</f>
        <v>-0.61800361567463236</v>
      </c>
      <c r="R701" t="str">
        <f>TEXT(Table2[[#This Row],[Sale_Date]],"mmmm")</f>
        <v>December</v>
      </c>
      <c r="S701" s="4">
        <f>YEAR(Table2[[#This Row],[Sale_Date]])</f>
        <v>2023</v>
      </c>
    </row>
    <row r="702" spans="1:19" x14ac:dyDescent="0.35">
      <c r="A702">
        <v>1020</v>
      </c>
      <c r="B702" s="1">
        <v>44966</v>
      </c>
      <c r="C702" t="s">
        <v>33</v>
      </c>
      <c r="D702" t="s">
        <v>34</v>
      </c>
      <c r="E702">
        <v>2102.3200000000002</v>
      </c>
      <c r="F702">
        <v>29</v>
      </c>
      <c r="G702" t="s">
        <v>35</v>
      </c>
      <c r="H702">
        <v>184.05</v>
      </c>
      <c r="I702">
        <v>675.91</v>
      </c>
      <c r="J702" t="s">
        <v>17</v>
      </c>
      <c r="K702">
        <v>0.1</v>
      </c>
      <c r="L702" t="s">
        <v>18</v>
      </c>
      <c r="M702" t="s">
        <v>22</v>
      </c>
      <c r="N702" t="s">
        <v>36</v>
      </c>
      <c r="O702">
        <f>Table2[[#This Row],[Unit_Cost]]*Table2[[#This Row],[Quantity_Sold]]</f>
        <v>5337.4500000000007</v>
      </c>
      <c r="P702">
        <f t="shared" si="10"/>
        <v>-3235.1300000000006</v>
      </c>
      <c r="Q702" s="3">
        <f>Table2[[#This Row],[Gross_Profit]]/Table2[[#This Row],[Sales_Amount]]</f>
        <v>-1.5388380455877317</v>
      </c>
      <c r="R702" t="str">
        <f>TEXT(Table2[[#This Row],[Sale_Date]],"mmmm")</f>
        <v>February</v>
      </c>
      <c r="S702" s="4">
        <f>YEAR(Table2[[#This Row],[Sale_Date]])</f>
        <v>2023</v>
      </c>
    </row>
    <row r="703" spans="1:19" x14ac:dyDescent="0.35">
      <c r="A703">
        <v>1092</v>
      </c>
      <c r="B703" s="1">
        <v>45273</v>
      </c>
      <c r="C703" t="s">
        <v>33</v>
      </c>
      <c r="D703" t="s">
        <v>15</v>
      </c>
      <c r="E703">
        <v>3206.89</v>
      </c>
      <c r="F703">
        <v>15</v>
      </c>
      <c r="G703" t="s">
        <v>29</v>
      </c>
      <c r="H703">
        <v>2273.88</v>
      </c>
      <c r="I703">
        <v>2696.02</v>
      </c>
      <c r="J703" t="s">
        <v>30</v>
      </c>
      <c r="K703">
        <v>0.3</v>
      </c>
      <c r="L703" t="s">
        <v>18</v>
      </c>
      <c r="M703" t="s">
        <v>19</v>
      </c>
      <c r="N703" t="s">
        <v>53</v>
      </c>
      <c r="O703">
        <f>Table2[[#This Row],[Unit_Cost]]*Table2[[#This Row],[Quantity_Sold]]</f>
        <v>34108.200000000004</v>
      </c>
      <c r="P703">
        <f t="shared" si="10"/>
        <v>-30901.310000000005</v>
      </c>
      <c r="Q703" s="3">
        <f>Table2[[#This Row],[Gross_Profit]]/Table2[[#This Row],[Sales_Amount]]</f>
        <v>-9.6359120518633343</v>
      </c>
      <c r="R703" t="str">
        <f>TEXT(Table2[[#This Row],[Sale_Date]],"mmmm")</f>
        <v>December</v>
      </c>
      <c r="S703" s="4">
        <f>YEAR(Table2[[#This Row],[Sale_Date]])</f>
        <v>2023</v>
      </c>
    </row>
    <row r="704" spans="1:19" x14ac:dyDescent="0.35">
      <c r="A704">
        <v>1072</v>
      </c>
      <c r="B704" s="1">
        <v>45163</v>
      </c>
      <c r="C704" t="s">
        <v>33</v>
      </c>
      <c r="D704" t="s">
        <v>25</v>
      </c>
      <c r="E704">
        <v>2490.86</v>
      </c>
      <c r="F704">
        <v>12</v>
      </c>
      <c r="G704" t="s">
        <v>26</v>
      </c>
      <c r="H704">
        <v>1517.4</v>
      </c>
      <c r="I704">
        <v>1545.02</v>
      </c>
      <c r="J704" t="s">
        <v>30</v>
      </c>
      <c r="K704">
        <v>0.03</v>
      </c>
      <c r="L704" t="s">
        <v>27</v>
      </c>
      <c r="M704" t="s">
        <v>22</v>
      </c>
      <c r="N704" t="s">
        <v>44</v>
      </c>
      <c r="O704">
        <f>Table2[[#This Row],[Unit_Cost]]*Table2[[#This Row],[Quantity_Sold]]</f>
        <v>18208.800000000003</v>
      </c>
      <c r="P704">
        <f t="shared" si="10"/>
        <v>-15717.940000000002</v>
      </c>
      <c r="Q704" s="3">
        <f>Table2[[#This Row],[Gross_Profit]]/Table2[[#This Row],[Sales_Amount]]</f>
        <v>-6.3102462603277587</v>
      </c>
      <c r="R704" t="str">
        <f>TEXT(Table2[[#This Row],[Sale_Date]],"mmmm")</f>
        <v>August</v>
      </c>
      <c r="S704" s="4">
        <f>YEAR(Table2[[#This Row],[Sale_Date]])</f>
        <v>2023</v>
      </c>
    </row>
    <row r="705" spans="1:19" x14ac:dyDescent="0.35">
      <c r="A705">
        <v>1061</v>
      </c>
      <c r="B705" s="1">
        <v>45215</v>
      </c>
      <c r="C705" t="s">
        <v>38</v>
      </c>
      <c r="D705" t="s">
        <v>34</v>
      </c>
      <c r="E705">
        <v>2227.64</v>
      </c>
      <c r="F705">
        <v>37</v>
      </c>
      <c r="G705" t="s">
        <v>16</v>
      </c>
      <c r="H705">
        <v>4651.7700000000004</v>
      </c>
      <c r="I705">
        <v>4984.3900000000003</v>
      </c>
      <c r="J705" t="s">
        <v>17</v>
      </c>
      <c r="K705">
        <v>0.12</v>
      </c>
      <c r="L705" t="s">
        <v>18</v>
      </c>
      <c r="M705" t="s">
        <v>22</v>
      </c>
      <c r="N705" t="s">
        <v>48</v>
      </c>
      <c r="O705">
        <f>Table2[[#This Row],[Unit_Cost]]*Table2[[#This Row],[Quantity_Sold]]</f>
        <v>172115.49000000002</v>
      </c>
      <c r="P705">
        <f t="shared" si="10"/>
        <v>-169887.85</v>
      </c>
      <c r="Q705" s="3">
        <f>Table2[[#This Row],[Gross_Profit]]/Table2[[#This Row],[Sales_Amount]]</f>
        <v>-76.263601838717221</v>
      </c>
      <c r="R705" t="str">
        <f>TEXT(Table2[[#This Row],[Sale_Date]],"mmmm")</f>
        <v>October</v>
      </c>
      <c r="S705" s="4">
        <f>YEAR(Table2[[#This Row],[Sale_Date]])</f>
        <v>2023</v>
      </c>
    </row>
    <row r="706" spans="1:19" x14ac:dyDescent="0.35">
      <c r="A706">
        <v>1039</v>
      </c>
      <c r="B706" s="1">
        <v>45188</v>
      </c>
      <c r="C706" t="s">
        <v>14</v>
      </c>
      <c r="D706" t="s">
        <v>25</v>
      </c>
      <c r="E706">
        <v>4306.0200000000004</v>
      </c>
      <c r="F706">
        <v>28</v>
      </c>
      <c r="G706" t="s">
        <v>29</v>
      </c>
      <c r="H706">
        <v>666.84</v>
      </c>
      <c r="I706">
        <v>817.36</v>
      </c>
      <c r="J706" t="s">
        <v>17</v>
      </c>
      <c r="K706">
        <v>0.02</v>
      </c>
      <c r="L706" t="s">
        <v>18</v>
      </c>
      <c r="M706" t="s">
        <v>22</v>
      </c>
      <c r="N706" t="s">
        <v>32</v>
      </c>
      <c r="O706">
        <f>Table2[[#This Row],[Unit_Cost]]*Table2[[#This Row],[Quantity_Sold]]</f>
        <v>18671.52</v>
      </c>
      <c r="P706">
        <f t="shared" ref="P706:P769" si="11">E706-O706</f>
        <v>-14365.5</v>
      </c>
      <c r="Q706" s="3">
        <f>Table2[[#This Row],[Gross_Profit]]/Table2[[#This Row],[Sales_Amount]]</f>
        <v>-3.3361433527944597</v>
      </c>
      <c r="R706" t="str">
        <f>TEXT(Table2[[#This Row],[Sale_Date]],"mmmm")</f>
        <v>September</v>
      </c>
      <c r="S706" s="4">
        <f>YEAR(Table2[[#This Row],[Sale_Date]])</f>
        <v>2023</v>
      </c>
    </row>
    <row r="707" spans="1:19" x14ac:dyDescent="0.35">
      <c r="A707">
        <v>1001</v>
      </c>
      <c r="B707" s="1">
        <v>45142</v>
      </c>
      <c r="C707" t="s">
        <v>24</v>
      </c>
      <c r="D707" t="s">
        <v>21</v>
      </c>
      <c r="E707">
        <v>9087.6</v>
      </c>
      <c r="F707">
        <v>20</v>
      </c>
      <c r="G707" t="s">
        <v>26</v>
      </c>
      <c r="H707">
        <v>3279.76</v>
      </c>
      <c r="I707">
        <v>3563.97</v>
      </c>
      <c r="J707" t="s">
        <v>17</v>
      </c>
      <c r="K707">
        <v>0.25</v>
      </c>
      <c r="L707" t="s">
        <v>18</v>
      </c>
      <c r="M707" t="s">
        <v>22</v>
      </c>
      <c r="N707" t="s">
        <v>47</v>
      </c>
      <c r="O707">
        <f>Table2[[#This Row],[Unit_Cost]]*Table2[[#This Row],[Quantity_Sold]]</f>
        <v>65595.200000000012</v>
      </c>
      <c r="P707">
        <f t="shared" si="11"/>
        <v>-56507.600000000013</v>
      </c>
      <c r="Q707" s="3">
        <f>Table2[[#This Row],[Gross_Profit]]/Table2[[#This Row],[Sales_Amount]]</f>
        <v>-6.2180993881772979</v>
      </c>
      <c r="R707" t="str">
        <f>TEXT(Table2[[#This Row],[Sale_Date]],"mmmm")</f>
        <v>August</v>
      </c>
      <c r="S707" s="4">
        <f>YEAR(Table2[[#This Row],[Sale_Date]])</f>
        <v>2023</v>
      </c>
    </row>
    <row r="708" spans="1:19" x14ac:dyDescent="0.35">
      <c r="A708">
        <v>1003</v>
      </c>
      <c r="B708" s="1">
        <v>45073</v>
      </c>
      <c r="C708" t="s">
        <v>38</v>
      </c>
      <c r="D708" t="s">
        <v>34</v>
      </c>
      <c r="E708">
        <v>5119.8900000000003</v>
      </c>
      <c r="F708">
        <v>39</v>
      </c>
      <c r="G708" t="s">
        <v>29</v>
      </c>
      <c r="H708">
        <v>310.95999999999998</v>
      </c>
      <c r="I708">
        <v>457.84</v>
      </c>
      <c r="J708" t="s">
        <v>30</v>
      </c>
      <c r="K708">
        <v>0.03</v>
      </c>
      <c r="L708" t="s">
        <v>31</v>
      </c>
      <c r="M708" t="s">
        <v>19</v>
      </c>
      <c r="N708" t="s">
        <v>48</v>
      </c>
      <c r="O708">
        <f>Table2[[#This Row],[Unit_Cost]]*Table2[[#This Row],[Quantity_Sold]]</f>
        <v>12127.439999999999</v>
      </c>
      <c r="P708">
        <f t="shared" si="11"/>
        <v>-7007.5499999999984</v>
      </c>
      <c r="Q708" s="3">
        <f>Table2[[#This Row],[Gross_Profit]]/Table2[[#This Row],[Sales_Amount]]</f>
        <v>-1.368691514856764</v>
      </c>
      <c r="R708" t="str">
        <f>TEXT(Table2[[#This Row],[Sale_Date]],"mmmm")</f>
        <v>May</v>
      </c>
      <c r="S708" s="4">
        <f>YEAR(Table2[[#This Row],[Sale_Date]])</f>
        <v>2023</v>
      </c>
    </row>
    <row r="709" spans="1:19" x14ac:dyDescent="0.35">
      <c r="A709">
        <v>1077</v>
      </c>
      <c r="B709" s="1">
        <v>45262</v>
      </c>
      <c r="C709" t="s">
        <v>24</v>
      </c>
      <c r="D709" t="s">
        <v>34</v>
      </c>
      <c r="E709">
        <v>1960.41</v>
      </c>
      <c r="F709">
        <v>24</v>
      </c>
      <c r="G709" t="s">
        <v>35</v>
      </c>
      <c r="H709">
        <v>2258.54</v>
      </c>
      <c r="I709">
        <v>2439.4899999999998</v>
      </c>
      <c r="J709" t="s">
        <v>17</v>
      </c>
      <c r="K709">
        <v>0.2</v>
      </c>
      <c r="L709" t="s">
        <v>31</v>
      </c>
      <c r="M709" t="s">
        <v>22</v>
      </c>
      <c r="N709" t="s">
        <v>50</v>
      </c>
      <c r="O709">
        <f>Table2[[#This Row],[Unit_Cost]]*Table2[[#This Row],[Quantity_Sold]]</f>
        <v>54204.959999999999</v>
      </c>
      <c r="P709">
        <f t="shared" si="11"/>
        <v>-52244.549999999996</v>
      </c>
      <c r="Q709" s="3">
        <f>Table2[[#This Row],[Gross_Profit]]/Table2[[#This Row],[Sales_Amount]]</f>
        <v>-26.649807948337333</v>
      </c>
      <c r="R709" t="str">
        <f>TEXT(Table2[[#This Row],[Sale_Date]],"mmmm")</f>
        <v>December</v>
      </c>
      <c r="S709" s="4">
        <f>YEAR(Table2[[#This Row],[Sale_Date]])</f>
        <v>2023</v>
      </c>
    </row>
    <row r="710" spans="1:19" x14ac:dyDescent="0.35">
      <c r="A710">
        <v>1092</v>
      </c>
      <c r="B710" s="1">
        <v>45094</v>
      </c>
      <c r="C710" t="s">
        <v>24</v>
      </c>
      <c r="D710" t="s">
        <v>34</v>
      </c>
      <c r="E710">
        <v>862.02</v>
      </c>
      <c r="F710">
        <v>21</v>
      </c>
      <c r="G710" t="s">
        <v>29</v>
      </c>
      <c r="H710">
        <v>2792.2</v>
      </c>
      <c r="I710">
        <v>3254.5499999999902</v>
      </c>
      <c r="J710" t="s">
        <v>30</v>
      </c>
      <c r="K710">
        <v>0.02</v>
      </c>
      <c r="L710" t="s">
        <v>31</v>
      </c>
      <c r="M710" t="s">
        <v>22</v>
      </c>
      <c r="N710" t="s">
        <v>50</v>
      </c>
      <c r="O710">
        <f>Table2[[#This Row],[Unit_Cost]]*Table2[[#This Row],[Quantity_Sold]]</f>
        <v>58636.2</v>
      </c>
      <c r="P710">
        <f t="shared" si="11"/>
        <v>-57774.18</v>
      </c>
      <c r="Q710" s="3">
        <f>Table2[[#This Row],[Gross_Profit]]/Table2[[#This Row],[Sales_Amount]]</f>
        <v>-67.021855641400435</v>
      </c>
      <c r="R710" t="str">
        <f>TEXT(Table2[[#This Row],[Sale_Date]],"mmmm")</f>
        <v>June</v>
      </c>
      <c r="S710" s="4">
        <f>YEAR(Table2[[#This Row],[Sale_Date]])</f>
        <v>2023</v>
      </c>
    </row>
    <row r="711" spans="1:19" x14ac:dyDescent="0.35">
      <c r="A711">
        <v>1062</v>
      </c>
      <c r="B711" s="1">
        <v>45018</v>
      </c>
      <c r="C711" t="s">
        <v>14</v>
      </c>
      <c r="D711" t="s">
        <v>34</v>
      </c>
      <c r="E711">
        <v>6991.95</v>
      </c>
      <c r="F711">
        <v>10</v>
      </c>
      <c r="G711" t="s">
        <v>29</v>
      </c>
      <c r="H711">
        <v>1524.88</v>
      </c>
      <c r="I711">
        <v>1636.14</v>
      </c>
      <c r="J711" t="s">
        <v>30</v>
      </c>
      <c r="K711">
        <v>0.2</v>
      </c>
      <c r="L711" t="s">
        <v>27</v>
      </c>
      <c r="M711" t="s">
        <v>19</v>
      </c>
      <c r="N711" t="s">
        <v>46</v>
      </c>
      <c r="O711">
        <f>Table2[[#This Row],[Unit_Cost]]*Table2[[#This Row],[Quantity_Sold]]</f>
        <v>15248.800000000001</v>
      </c>
      <c r="P711">
        <f t="shared" si="11"/>
        <v>-8256.8500000000022</v>
      </c>
      <c r="Q711" s="3">
        <f>Table2[[#This Row],[Gross_Profit]]/Table2[[#This Row],[Sales_Amount]]</f>
        <v>-1.1809080442508888</v>
      </c>
      <c r="R711" t="str">
        <f>TEXT(Table2[[#This Row],[Sale_Date]],"mmmm")</f>
        <v>April</v>
      </c>
      <c r="S711" s="4">
        <f>YEAR(Table2[[#This Row],[Sale_Date]])</f>
        <v>2023</v>
      </c>
    </row>
    <row r="712" spans="1:19" x14ac:dyDescent="0.35">
      <c r="A712">
        <v>1063</v>
      </c>
      <c r="B712" s="1">
        <v>45279</v>
      </c>
      <c r="C712" t="s">
        <v>33</v>
      </c>
      <c r="D712" t="s">
        <v>21</v>
      </c>
      <c r="E712">
        <v>3889.71</v>
      </c>
      <c r="F712">
        <v>46</v>
      </c>
      <c r="G712" t="s">
        <v>16</v>
      </c>
      <c r="H712">
        <v>2302.62</v>
      </c>
      <c r="I712">
        <v>2740.93</v>
      </c>
      <c r="J712" t="s">
        <v>17</v>
      </c>
      <c r="K712">
        <v>0.25</v>
      </c>
      <c r="L712" t="s">
        <v>27</v>
      </c>
      <c r="M712" t="s">
        <v>19</v>
      </c>
      <c r="N712" t="s">
        <v>37</v>
      </c>
      <c r="O712">
        <f>Table2[[#This Row],[Unit_Cost]]*Table2[[#This Row],[Quantity_Sold]]</f>
        <v>105920.51999999999</v>
      </c>
      <c r="P712">
        <f t="shared" si="11"/>
        <v>-102030.80999999998</v>
      </c>
      <c r="Q712" s="3">
        <f>Table2[[#This Row],[Gross_Profit]]/Table2[[#This Row],[Sales_Amount]]</f>
        <v>-26.230955521105681</v>
      </c>
      <c r="R712" t="str">
        <f>TEXT(Table2[[#This Row],[Sale_Date]],"mmmm")</f>
        <v>December</v>
      </c>
      <c r="S712" s="4">
        <f>YEAR(Table2[[#This Row],[Sale_Date]])</f>
        <v>2023</v>
      </c>
    </row>
    <row r="713" spans="1:19" x14ac:dyDescent="0.35">
      <c r="A713">
        <v>1025</v>
      </c>
      <c r="B713" s="1">
        <v>44985</v>
      </c>
      <c r="C713" t="s">
        <v>14</v>
      </c>
      <c r="D713" t="s">
        <v>34</v>
      </c>
      <c r="E713">
        <v>8236.1299999999992</v>
      </c>
      <c r="F713">
        <v>14</v>
      </c>
      <c r="G713" t="s">
        <v>35</v>
      </c>
      <c r="H713">
        <v>859.59</v>
      </c>
      <c r="I713">
        <v>884.51</v>
      </c>
      <c r="J713" t="s">
        <v>30</v>
      </c>
      <c r="K713">
        <v>0.12</v>
      </c>
      <c r="L713" t="s">
        <v>27</v>
      </c>
      <c r="M713" t="s">
        <v>19</v>
      </c>
      <c r="N713" t="s">
        <v>46</v>
      </c>
      <c r="O713">
        <f>Table2[[#This Row],[Unit_Cost]]*Table2[[#This Row],[Quantity_Sold]]</f>
        <v>12034.26</v>
      </c>
      <c r="P713">
        <f t="shared" si="11"/>
        <v>-3798.130000000001</v>
      </c>
      <c r="Q713" s="3">
        <f>Table2[[#This Row],[Gross_Profit]]/Table2[[#This Row],[Sales_Amount]]</f>
        <v>-0.4611546927986811</v>
      </c>
      <c r="R713" t="str">
        <f>TEXT(Table2[[#This Row],[Sale_Date]],"mmmm")</f>
        <v>February</v>
      </c>
      <c r="S713" s="4">
        <f>YEAR(Table2[[#This Row],[Sale_Date]])</f>
        <v>2023</v>
      </c>
    </row>
    <row r="714" spans="1:19" x14ac:dyDescent="0.35">
      <c r="A714">
        <v>1056</v>
      </c>
      <c r="B714" s="1">
        <v>44985</v>
      </c>
      <c r="C714" t="s">
        <v>38</v>
      </c>
      <c r="D714" t="s">
        <v>15</v>
      </c>
      <c r="E714">
        <v>6629.16</v>
      </c>
      <c r="F714">
        <v>37</v>
      </c>
      <c r="G714" t="s">
        <v>35</v>
      </c>
      <c r="H714">
        <v>1555.41</v>
      </c>
      <c r="I714">
        <v>1609.94</v>
      </c>
      <c r="J714" t="s">
        <v>17</v>
      </c>
      <c r="K714">
        <v>0.16</v>
      </c>
      <c r="L714" t="s">
        <v>31</v>
      </c>
      <c r="M714" t="s">
        <v>19</v>
      </c>
      <c r="N714" t="s">
        <v>40</v>
      </c>
      <c r="O714">
        <f>Table2[[#This Row],[Unit_Cost]]*Table2[[#This Row],[Quantity_Sold]]</f>
        <v>57550.170000000006</v>
      </c>
      <c r="P714">
        <f t="shared" si="11"/>
        <v>-50921.010000000009</v>
      </c>
      <c r="Q714" s="3">
        <f>Table2[[#This Row],[Gross_Profit]]/Table2[[#This Row],[Sales_Amount]]</f>
        <v>-7.6813668700106819</v>
      </c>
      <c r="R714" t="str">
        <f>TEXT(Table2[[#This Row],[Sale_Date]],"mmmm")</f>
        <v>February</v>
      </c>
      <c r="S714" s="4">
        <f>YEAR(Table2[[#This Row],[Sale_Date]])</f>
        <v>2023</v>
      </c>
    </row>
    <row r="715" spans="1:19" x14ac:dyDescent="0.35">
      <c r="A715">
        <v>1033</v>
      </c>
      <c r="B715" s="1">
        <v>45230</v>
      </c>
      <c r="C715" t="s">
        <v>38</v>
      </c>
      <c r="D715" t="s">
        <v>34</v>
      </c>
      <c r="E715">
        <v>7982.79</v>
      </c>
      <c r="F715">
        <v>18</v>
      </c>
      <c r="G715" t="s">
        <v>16</v>
      </c>
      <c r="H715">
        <v>3124.48</v>
      </c>
      <c r="I715">
        <v>3553.27</v>
      </c>
      <c r="J715" t="s">
        <v>17</v>
      </c>
      <c r="K715">
        <v>0.12</v>
      </c>
      <c r="L715" t="s">
        <v>18</v>
      </c>
      <c r="M715" t="s">
        <v>22</v>
      </c>
      <c r="N715" t="s">
        <v>48</v>
      </c>
      <c r="O715">
        <f>Table2[[#This Row],[Unit_Cost]]*Table2[[#This Row],[Quantity_Sold]]</f>
        <v>56240.639999999999</v>
      </c>
      <c r="P715">
        <f t="shared" si="11"/>
        <v>-48257.85</v>
      </c>
      <c r="Q715" s="3">
        <f>Table2[[#This Row],[Gross_Profit]]/Table2[[#This Row],[Sales_Amount]]</f>
        <v>-6.0452360640828582</v>
      </c>
      <c r="R715" t="str">
        <f>TEXT(Table2[[#This Row],[Sale_Date]],"mmmm")</f>
        <v>October</v>
      </c>
      <c r="S715" s="4">
        <f>YEAR(Table2[[#This Row],[Sale_Date]])</f>
        <v>2023</v>
      </c>
    </row>
    <row r="716" spans="1:19" x14ac:dyDescent="0.35">
      <c r="A716">
        <v>1038</v>
      </c>
      <c r="B716" s="1">
        <v>45095</v>
      </c>
      <c r="C716" t="s">
        <v>38</v>
      </c>
      <c r="D716" t="s">
        <v>21</v>
      </c>
      <c r="E716">
        <v>2792.27</v>
      </c>
      <c r="F716">
        <v>24</v>
      </c>
      <c r="G716" t="s">
        <v>29</v>
      </c>
      <c r="H716">
        <v>1543.91</v>
      </c>
      <c r="I716">
        <v>1862.88</v>
      </c>
      <c r="J716" t="s">
        <v>30</v>
      </c>
      <c r="K716">
        <v>0.09</v>
      </c>
      <c r="L716" t="s">
        <v>27</v>
      </c>
      <c r="M716" t="s">
        <v>19</v>
      </c>
      <c r="N716" t="s">
        <v>41</v>
      </c>
      <c r="O716">
        <f>Table2[[#This Row],[Unit_Cost]]*Table2[[#This Row],[Quantity_Sold]]</f>
        <v>37053.840000000004</v>
      </c>
      <c r="P716">
        <f t="shared" si="11"/>
        <v>-34261.570000000007</v>
      </c>
      <c r="Q716" s="3">
        <f>Table2[[#This Row],[Gross_Profit]]/Table2[[#This Row],[Sales_Amount]]</f>
        <v>-12.270149376672029</v>
      </c>
      <c r="R716" t="str">
        <f>TEXT(Table2[[#This Row],[Sale_Date]],"mmmm")</f>
        <v>June</v>
      </c>
      <c r="S716" s="4">
        <f>YEAR(Table2[[#This Row],[Sale_Date]])</f>
        <v>2023</v>
      </c>
    </row>
    <row r="717" spans="1:19" x14ac:dyDescent="0.35">
      <c r="A717">
        <v>1006</v>
      </c>
      <c r="B717" s="1">
        <v>45195</v>
      </c>
      <c r="C717" t="s">
        <v>14</v>
      </c>
      <c r="D717" t="s">
        <v>34</v>
      </c>
      <c r="E717">
        <v>6954.35</v>
      </c>
      <c r="F717">
        <v>14</v>
      </c>
      <c r="G717" t="s">
        <v>26</v>
      </c>
      <c r="H717">
        <v>4503.7299999999996</v>
      </c>
      <c r="I717">
        <v>4879.8799999999901</v>
      </c>
      <c r="J717" t="s">
        <v>30</v>
      </c>
      <c r="K717">
        <v>0.24</v>
      </c>
      <c r="L717" t="s">
        <v>27</v>
      </c>
      <c r="M717" t="s">
        <v>22</v>
      </c>
      <c r="N717" t="s">
        <v>46</v>
      </c>
      <c r="O717">
        <f>Table2[[#This Row],[Unit_Cost]]*Table2[[#This Row],[Quantity_Sold]]</f>
        <v>63052.219999999994</v>
      </c>
      <c r="P717">
        <f t="shared" si="11"/>
        <v>-56097.869999999995</v>
      </c>
      <c r="Q717" s="3">
        <f>Table2[[#This Row],[Gross_Profit]]/Table2[[#This Row],[Sales_Amount]]</f>
        <v>-8.06658710016033</v>
      </c>
      <c r="R717" t="str">
        <f>TEXT(Table2[[#This Row],[Sale_Date]],"mmmm")</f>
        <v>September</v>
      </c>
      <c r="S717" s="4">
        <f>YEAR(Table2[[#This Row],[Sale_Date]])</f>
        <v>2023</v>
      </c>
    </row>
    <row r="718" spans="1:19" x14ac:dyDescent="0.35">
      <c r="A718">
        <v>1058</v>
      </c>
      <c r="B718" s="1">
        <v>45289</v>
      </c>
      <c r="C718" t="s">
        <v>24</v>
      </c>
      <c r="D718" t="s">
        <v>15</v>
      </c>
      <c r="E718">
        <v>2714.21</v>
      </c>
      <c r="F718">
        <v>34</v>
      </c>
      <c r="G718" t="s">
        <v>35</v>
      </c>
      <c r="H718">
        <v>3160.61</v>
      </c>
      <c r="I718">
        <v>3273.22</v>
      </c>
      <c r="J718" t="s">
        <v>17</v>
      </c>
      <c r="K718">
        <v>0.08</v>
      </c>
      <c r="L718" t="s">
        <v>31</v>
      </c>
      <c r="M718" t="s">
        <v>22</v>
      </c>
      <c r="N718" t="s">
        <v>45</v>
      </c>
      <c r="O718">
        <f>Table2[[#This Row],[Unit_Cost]]*Table2[[#This Row],[Quantity_Sold]]</f>
        <v>107460.74</v>
      </c>
      <c r="P718">
        <f t="shared" si="11"/>
        <v>-104746.53</v>
      </c>
      <c r="Q718" s="3">
        <f>Table2[[#This Row],[Gross_Profit]]/Table2[[#This Row],[Sales_Amount]]</f>
        <v>-38.591903353093535</v>
      </c>
      <c r="R718" t="str">
        <f>TEXT(Table2[[#This Row],[Sale_Date]],"mmmm")</f>
        <v>December</v>
      </c>
      <c r="S718" s="4">
        <f>YEAR(Table2[[#This Row],[Sale_Date]])</f>
        <v>2023</v>
      </c>
    </row>
    <row r="719" spans="1:19" x14ac:dyDescent="0.35">
      <c r="A719">
        <v>1044</v>
      </c>
      <c r="B719" s="1">
        <v>44971</v>
      </c>
      <c r="C719" t="s">
        <v>24</v>
      </c>
      <c r="D719" t="s">
        <v>21</v>
      </c>
      <c r="E719">
        <v>9396.7800000000007</v>
      </c>
      <c r="F719">
        <v>12</v>
      </c>
      <c r="G719" t="s">
        <v>35</v>
      </c>
      <c r="H719">
        <v>2221.31</v>
      </c>
      <c r="I719">
        <v>2494.48</v>
      </c>
      <c r="J719" t="s">
        <v>17</v>
      </c>
      <c r="K719">
        <v>0.22</v>
      </c>
      <c r="L719" t="s">
        <v>27</v>
      </c>
      <c r="M719" t="s">
        <v>19</v>
      </c>
      <c r="N719" t="s">
        <v>47</v>
      </c>
      <c r="O719">
        <f>Table2[[#This Row],[Unit_Cost]]*Table2[[#This Row],[Quantity_Sold]]</f>
        <v>26655.72</v>
      </c>
      <c r="P719">
        <f t="shared" si="11"/>
        <v>-17258.940000000002</v>
      </c>
      <c r="Q719" s="3">
        <f>Table2[[#This Row],[Gross_Profit]]/Table2[[#This Row],[Sales_Amount]]</f>
        <v>-1.8366866096684185</v>
      </c>
      <c r="R719" t="str">
        <f>TEXT(Table2[[#This Row],[Sale_Date]],"mmmm")</f>
        <v>February</v>
      </c>
      <c r="S719" s="4">
        <f>YEAR(Table2[[#This Row],[Sale_Date]])</f>
        <v>2023</v>
      </c>
    </row>
    <row r="720" spans="1:19" x14ac:dyDescent="0.35">
      <c r="A720">
        <v>1045</v>
      </c>
      <c r="B720" s="1">
        <v>45271</v>
      </c>
      <c r="C720" t="s">
        <v>42</v>
      </c>
      <c r="D720" t="s">
        <v>21</v>
      </c>
      <c r="E720">
        <v>6400.11</v>
      </c>
      <c r="F720">
        <v>22</v>
      </c>
      <c r="G720" t="s">
        <v>29</v>
      </c>
      <c r="H720">
        <v>241.85</v>
      </c>
      <c r="I720">
        <v>613.09</v>
      </c>
      <c r="J720" t="s">
        <v>17</v>
      </c>
      <c r="K720">
        <v>0.06</v>
      </c>
      <c r="L720" t="s">
        <v>18</v>
      </c>
      <c r="M720" t="s">
        <v>19</v>
      </c>
      <c r="N720" t="s">
        <v>51</v>
      </c>
      <c r="O720">
        <f>Table2[[#This Row],[Unit_Cost]]*Table2[[#This Row],[Quantity_Sold]]</f>
        <v>5320.7</v>
      </c>
      <c r="P720">
        <f t="shared" si="11"/>
        <v>1079.4099999999999</v>
      </c>
      <c r="Q720" s="3">
        <f>Table2[[#This Row],[Gross_Profit]]/Table2[[#This Row],[Sales_Amount]]</f>
        <v>0.16865491374367</v>
      </c>
      <c r="R720" t="str">
        <f>TEXT(Table2[[#This Row],[Sale_Date]],"mmmm")</f>
        <v>December</v>
      </c>
      <c r="S720" s="4">
        <f>YEAR(Table2[[#This Row],[Sale_Date]])</f>
        <v>2023</v>
      </c>
    </row>
    <row r="721" spans="1:19" x14ac:dyDescent="0.3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c r="O721">
        <f>Table2[[#This Row],[Unit_Cost]]*Table2[[#This Row],[Quantity_Sold]]</f>
        <v>15136.560000000001</v>
      </c>
      <c r="P721">
        <f t="shared" si="11"/>
        <v>-11823.890000000001</v>
      </c>
      <c r="Q721" s="3">
        <f>Table2[[#This Row],[Gross_Profit]]/Table2[[#This Row],[Sales_Amount]]</f>
        <v>-3.5692930476020854</v>
      </c>
      <c r="R721" t="str">
        <f>TEXT(Table2[[#This Row],[Sale_Date]],"mmmm")</f>
        <v>June</v>
      </c>
      <c r="S721" s="4">
        <f>YEAR(Table2[[#This Row],[Sale_Date]])</f>
        <v>2023</v>
      </c>
    </row>
    <row r="722" spans="1:19" x14ac:dyDescent="0.35">
      <c r="A722">
        <v>1045</v>
      </c>
      <c r="B722" s="1">
        <v>45096</v>
      </c>
      <c r="C722" t="s">
        <v>24</v>
      </c>
      <c r="D722" t="s">
        <v>15</v>
      </c>
      <c r="E722">
        <v>2768.17</v>
      </c>
      <c r="F722">
        <v>36</v>
      </c>
      <c r="G722" t="s">
        <v>35</v>
      </c>
      <c r="H722">
        <v>3835.64</v>
      </c>
      <c r="I722">
        <v>4076.77</v>
      </c>
      <c r="J722" t="s">
        <v>17</v>
      </c>
      <c r="K722">
        <v>0.1</v>
      </c>
      <c r="L722" t="s">
        <v>31</v>
      </c>
      <c r="M722" t="s">
        <v>22</v>
      </c>
      <c r="N722" t="s">
        <v>45</v>
      </c>
      <c r="O722">
        <f>Table2[[#This Row],[Unit_Cost]]*Table2[[#This Row],[Quantity_Sold]]</f>
        <v>138083.04</v>
      </c>
      <c r="P722">
        <f t="shared" si="11"/>
        <v>-135314.87</v>
      </c>
      <c r="Q722" s="3">
        <f>Table2[[#This Row],[Gross_Profit]]/Table2[[#This Row],[Sales_Amount]]</f>
        <v>-48.882427741070813</v>
      </c>
      <c r="R722" t="str">
        <f>TEXT(Table2[[#This Row],[Sale_Date]],"mmmm")</f>
        <v>June</v>
      </c>
      <c r="S722" s="4">
        <f>YEAR(Table2[[#This Row],[Sale_Date]])</f>
        <v>2023</v>
      </c>
    </row>
    <row r="723" spans="1:19" x14ac:dyDescent="0.35">
      <c r="A723">
        <v>1061</v>
      </c>
      <c r="B723" s="1">
        <v>45282</v>
      </c>
      <c r="C723" t="s">
        <v>42</v>
      </c>
      <c r="D723" t="s">
        <v>15</v>
      </c>
      <c r="E723">
        <v>1990.17</v>
      </c>
      <c r="F723">
        <v>45</v>
      </c>
      <c r="G723" t="s">
        <v>29</v>
      </c>
      <c r="H723">
        <v>1364.51</v>
      </c>
      <c r="I723">
        <v>1844.8</v>
      </c>
      <c r="J723" t="s">
        <v>17</v>
      </c>
      <c r="K723">
        <v>0.18</v>
      </c>
      <c r="L723" t="s">
        <v>18</v>
      </c>
      <c r="M723" t="s">
        <v>19</v>
      </c>
      <c r="N723" t="s">
        <v>49</v>
      </c>
      <c r="O723">
        <f>Table2[[#This Row],[Unit_Cost]]*Table2[[#This Row],[Quantity_Sold]]</f>
        <v>61402.95</v>
      </c>
      <c r="P723">
        <f t="shared" si="11"/>
        <v>-59412.78</v>
      </c>
      <c r="Q723" s="3">
        <f>Table2[[#This Row],[Gross_Profit]]/Table2[[#This Row],[Sales_Amount]]</f>
        <v>-29.853118075340294</v>
      </c>
      <c r="R723" t="str">
        <f>TEXT(Table2[[#This Row],[Sale_Date]],"mmmm")</f>
        <v>December</v>
      </c>
      <c r="S723" s="4">
        <f>YEAR(Table2[[#This Row],[Sale_Date]])</f>
        <v>2023</v>
      </c>
    </row>
    <row r="724" spans="1:19" x14ac:dyDescent="0.3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c r="O724">
        <f>Table2[[#This Row],[Unit_Cost]]*Table2[[#This Row],[Quantity_Sold]]</f>
        <v>145567.08000000002</v>
      </c>
      <c r="P724">
        <f t="shared" si="11"/>
        <v>-138590.13</v>
      </c>
      <c r="Q724" s="3">
        <f>Table2[[#This Row],[Gross_Profit]]/Table2[[#This Row],[Sales_Amount]]</f>
        <v>-19.863999312020297</v>
      </c>
      <c r="R724" t="str">
        <f>TEXT(Table2[[#This Row],[Sale_Date]],"mmmm")</f>
        <v>July</v>
      </c>
      <c r="S724" s="4">
        <f>YEAR(Table2[[#This Row],[Sale_Date]])</f>
        <v>2023</v>
      </c>
    </row>
    <row r="725" spans="1:19" x14ac:dyDescent="0.35">
      <c r="A725">
        <v>1021</v>
      </c>
      <c r="B725" s="1">
        <v>45081</v>
      </c>
      <c r="C725" t="s">
        <v>38</v>
      </c>
      <c r="D725" t="s">
        <v>15</v>
      </c>
      <c r="E725">
        <v>2265.2800000000002</v>
      </c>
      <c r="F725">
        <v>22</v>
      </c>
      <c r="G725" t="s">
        <v>35</v>
      </c>
      <c r="H725">
        <v>1296.44</v>
      </c>
      <c r="I725">
        <v>1751.24</v>
      </c>
      <c r="J725" t="s">
        <v>30</v>
      </c>
      <c r="K725">
        <v>0.22</v>
      </c>
      <c r="L725" t="s">
        <v>18</v>
      </c>
      <c r="M725" t="s">
        <v>19</v>
      </c>
      <c r="N725" t="s">
        <v>40</v>
      </c>
      <c r="O725">
        <f>Table2[[#This Row],[Unit_Cost]]*Table2[[#This Row],[Quantity_Sold]]</f>
        <v>28521.68</v>
      </c>
      <c r="P725">
        <f t="shared" si="11"/>
        <v>-26256.400000000001</v>
      </c>
      <c r="Q725" s="3">
        <f>Table2[[#This Row],[Gross_Profit]]/Table2[[#This Row],[Sales_Amount]]</f>
        <v>-11.590796722700945</v>
      </c>
      <c r="R725" t="str">
        <f>TEXT(Table2[[#This Row],[Sale_Date]],"mmmm")</f>
        <v>June</v>
      </c>
      <c r="S725" s="4">
        <f>YEAR(Table2[[#This Row],[Sale_Date]])</f>
        <v>2023</v>
      </c>
    </row>
    <row r="726" spans="1:19" x14ac:dyDescent="0.35">
      <c r="A726">
        <v>1080</v>
      </c>
      <c r="B726" s="1">
        <v>45114</v>
      </c>
      <c r="C726" t="s">
        <v>33</v>
      </c>
      <c r="D726" t="s">
        <v>21</v>
      </c>
      <c r="E726">
        <v>5993.5</v>
      </c>
      <c r="F726">
        <v>14</v>
      </c>
      <c r="G726" t="s">
        <v>26</v>
      </c>
      <c r="H726">
        <v>4127.54</v>
      </c>
      <c r="I726">
        <v>4495.13</v>
      </c>
      <c r="J726" t="s">
        <v>30</v>
      </c>
      <c r="K726">
        <v>0.06</v>
      </c>
      <c r="L726" t="s">
        <v>27</v>
      </c>
      <c r="M726" t="s">
        <v>22</v>
      </c>
      <c r="N726" t="s">
        <v>37</v>
      </c>
      <c r="O726">
        <f>Table2[[#This Row],[Unit_Cost]]*Table2[[#This Row],[Quantity_Sold]]</f>
        <v>57785.56</v>
      </c>
      <c r="P726">
        <f t="shared" si="11"/>
        <v>-51792.06</v>
      </c>
      <c r="Q726" s="3">
        <f>Table2[[#This Row],[Gross_Profit]]/Table2[[#This Row],[Sales_Amount]]</f>
        <v>-8.6413714857762578</v>
      </c>
      <c r="R726" t="str">
        <f>TEXT(Table2[[#This Row],[Sale_Date]],"mmmm")</f>
        <v>July</v>
      </c>
      <c r="S726" s="4">
        <f>YEAR(Table2[[#This Row],[Sale_Date]])</f>
        <v>2023</v>
      </c>
    </row>
    <row r="727" spans="1:19" x14ac:dyDescent="0.35">
      <c r="A727">
        <v>1085</v>
      </c>
      <c r="B727" s="1">
        <v>44933</v>
      </c>
      <c r="C727" t="s">
        <v>38</v>
      </c>
      <c r="D727" t="s">
        <v>21</v>
      </c>
      <c r="E727">
        <v>2719.89</v>
      </c>
      <c r="F727">
        <v>16</v>
      </c>
      <c r="G727" t="s">
        <v>26</v>
      </c>
      <c r="H727">
        <v>472.08</v>
      </c>
      <c r="I727">
        <v>842.46</v>
      </c>
      <c r="J727" t="s">
        <v>30</v>
      </c>
      <c r="K727">
        <v>0</v>
      </c>
      <c r="L727" t="s">
        <v>18</v>
      </c>
      <c r="M727" t="s">
        <v>22</v>
      </c>
      <c r="N727" t="s">
        <v>41</v>
      </c>
      <c r="O727">
        <f>Table2[[#This Row],[Unit_Cost]]*Table2[[#This Row],[Quantity_Sold]]</f>
        <v>7553.28</v>
      </c>
      <c r="P727">
        <f t="shared" si="11"/>
        <v>-4833.3899999999994</v>
      </c>
      <c r="Q727" s="3">
        <f>Table2[[#This Row],[Gross_Profit]]/Table2[[#This Row],[Sales_Amount]]</f>
        <v>-1.777053483780594</v>
      </c>
      <c r="R727" t="str">
        <f>TEXT(Table2[[#This Row],[Sale_Date]],"mmmm")</f>
        <v>January</v>
      </c>
      <c r="S727" s="4">
        <f>YEAR(Table2[[#This Row],[Sale_Date]])</f>
        <v>2023</v>
      </c>
    </row>
    <row r="728" spans="1:19" x14ac:dyDescent="0.35">
      <c r="A728">
        <v>1075</v>
      </c>
      <c r="B728" s="1">
        <v>45059</v>
      </c>
      <c r="C728" t="s">
        <v>14</v>
      </c>
      <c r="D728" t="s">
        <v>34</v>
      </c>
      <c r="E728">
        <v>6653.49</v>
      </c>
      <c r="F728">
        <v>36</v>
      </c>
      <c r="G728" t="s">
        <v>29</v>
      </c>
      <c r="H728">
        <v>4337.6099999999997</v>
      </c>
      <c r="I728">
        <v>4386.82</v>
      </c>
      <c r="J728" t="s">
        <v>17</v>
      </c>
      <c r="K728">
        <v>0.23</v>
      </c>
      <c r="L728" t="s">
        <v>31</v>
      </c>
      <c r="M728" t="s">
        <v>19</v>
      </c>
      <c r="N728" t="s">
        <v>46</v>
      </c>
      <c r="O728">
        <f>Table2[[#This Row],[Unit_Cost]]*Table2[[#This Row],[Quantity_Sold]]</f>
        <v>156153.96</v>
      </c>
      <c r="P728">
        <f t="shared" si="11"/>
        <v>-149500.47</v>
      </c>
      <c r="Q728" s="3">
        <f>Table2[[#This Row],[Gross_Profit]]/Table2[[#This Row],[Sales_Amount]]</f>
        <v>-22.469481430046489</v>
      </c>
      <c r="R728" t="str">
        <f>TEXT(Table2[[#This Row],[Sale_Date]],"mmmm")</f>
        <v>May</v>
      </c>
      <c r="S728" s="4">
        <f>YEAR(Table2[[#This Row],[Sale_Date]])</f>
        <v>2023</v>
      </c>
    </row>
    <row r="729" spans="1:19" x14ac:dyDescent="0.35">
      <c r="A729">
        <v>1036</v>
      </c>
      <c r="B729" s="1">
        <v>45161</v>
      </c>
      <c r="C729" t="s">
        <v>24</v>
      </c>
      <c r="D729" t="s">
        <v>34</v>
      </c>
      <c r="E729">
        <v>8167.9</v>
      </c>
      <c r="F729">
        <v>25</v>
      </c>
      <c r="G729" t="s">
        <v>26</v>
      </c>
      <c r="H729">
        <v>2520.9699999999998</v>
      </c>
      <c r="I729">
        <v>2707.1099999999901</v>
      </c>
      <c r="J729" t="s">
        <v>30</v>
      </c>
      <c r="K729">
        <v>0.25</v>
      </c>
      <c r="L729" t="s">
        <v>18</v>
      </c>
      <c r="M729" t="s">
        <v>22</v>
      </c>
      <c r="N729" t="s">
        <v>50</v>
      </c>
      <c r="O729">
        <f>Table2[[#This Row],[Unit_Cost]]*Table2[[#This Row],[Quantity_Sold]]</f>
        <v>63024.249999999993</v>
      </c>
      <c r="P729">
        <f t="shared" si="11"/>
        <v>-54856.349999999991</v>
      </c>
      <c r="Q729" s="3">
        <f>Table2[[#This Row],[Gross_Profit]]/Table2[[#This Row],[Sales_Amount]]</f>
        <v>-6.7160898150075283</v>
      </c>
      <c r="R729" t="str">
        <f>TEXT(Table2[[#This Row],[Sale_Date]],"mmmm")</f>
        <v>August</v>
      </c>
      <c r="S729" s="4">
        <f>YEAR(Table2[[#This Row],[Sale_Date]])</f>
        <v>2023</v>
      </c>
    </row>
    <row r="730" spans="1:19" x14ac:dyDescent="0.35">
      <c r="A730">
        <v>1099</v>
      </c>
      <c r="B730" s="1">
        <v>44971</v>
      </c>
      <c r="C730" t="s">
        <v>24</v>
      </c>
      <c r="D730" t="s">
        <v>25</v>
      </c>
      <c r="E730">
        <v>7802.45</v>
      </c>
      <c r="F730">
        <v>32</v>
      </c>
      <c r="G730" t="s">
        <v>29</v>
      </c>
      <c r="H730">
        <v>1517.86</v>
      </c>
      <c r="I730">
        <v>1948.46</v>
      </c>
      <c r="J730" t="s">
        <v>30</v>
      </c>
      <c r="K730">
        <v>0.02</v>
      </c>
      <c r="L730" t="s">
        <v>31</v>
      </c>
      <c r="M730" t="s">
        <v>19</v>
      </c>
      <c r="N730" t="s">
        <v>28</v>
      </c>
      <c r="O730">
        <f>Table2[[#This Row],[Unit_Cost]]*Table2[[#This Row],[Quantity_Sold]]</f>
        <v>48571.519999999997</v>
      </c>
      <c r="P730">
        <f t="shared" si="11"/>
        <v>-40769.07</v>
      </c>
      <c r="Q730" s="3">
        <f>Table2[[#This Row],[Gross_Profit]]/Table2[[#This Row],[Sales_Amount]]</f>
        <v>-5.2251626091804502</v>
      </c>
      <c r="R730" t="str">
        <f>TEXT(Table2[[#This Row],[Sale_Date]],"mmmm")</f>
        <v>February</v>
      </c>
      <c r="S730" s="4">
        <f>YEAR(Table2[[#This Row],[Sale_Date]])</f>
        <v>2023</v>
      </c>
    </row>
    <row r="731" spans="1:19" x14ac:dyDescent="0.35">
      <c r="A731">
        <v>1019</v>
      </c>
      <c r="B731" s="1">
        <v>45240</v>
      </c>
      <c r="C731" t="s">
        <v>14</v>
      </c>
      <c r="D731" t="s">
        <v>34</v>
      </c>
      <c r="E731">
        <v>7632.43</v>
      </c>
      <c r="F731">
        <v>33</v>
      </c>
      <c r="G731" t="s">
        <v>16</v>
      </c>
      <c r="H731">
        <v>1362.31</v>
      </c>
      <c r="I731">
        <v>1486.29</v>
      </c>
      <c r="J731" t="s">
        <v>17</v>
      </c>
      <c r="K731">
        <v>0.18</v>
      </c>
      <c r="L731" t="s">
        <v>31</v>
      </c>
      <c r="M731" t="s">
        <v>22</v>
      </c>
      <c r="N731" t="s">
        <v>46</v>
      </c>
      <c r="O731">
        <f>Table2[[#This Row],[Unit_Cost]]*Table2[[#This Row],[Quantity_Sold]]</f>
        <v>44956.229999999996</v>
      </c>
      <c r="P731">
        <f t="shared" si="11"/>
        <v>-37323.799999999996</v>
      </c>
      <c r="Q731" s="3">
        <f>Table2[[#This Row],[Gross_Profit]]/Table2[[#This Row],[Sales_Amount]]</f>
        <v>-4.8901594904899222</v>
      </c>
      <c r="R731" t="str">
        <f>TEXT(Table2[[#This Row],[Sale_Date]],"mmmm")</f>
        <v>November</v>
      </c>
      <c r="S731" s="4">
        <f>YEAR(Table2[[#This Row],[Sale_Date]])</f>
        <v>2023</v>
      </c>
    </row>
    <row r="732" spans="1:19" x14ac:dyDescent="0.35">
      <c r="A732">
        <v>1020</v>
      </c>
      <c r="B732" s="1">
        <v>45175</v>
      </c>
      <c r="C732" t="s">
        <v>14</v>
      </c>
      <c r="D732" t="s">
        <v>34</v>
      </c>
      <c r="E732">
        <v>1958.45</v>
      </c>
      <c r="F732">
        <v>45</v>
      </c>
      <c r="G732" t="s">
        <v>29</v>
      </c>
      <c r="H732">
        <v>2188.4499999999998</v>
      </c>
      <c r="I732">
        <v>2255.0499999999902</v>
      </c>
      <c r="J732" t="s">
        <v>30</v>
      </c>
      <c r="K732">
        <v>0.11</v>
      </c>
      <c r="L732" t="s">
        <v>27</v>
      </c>
      <c r="M732" t="s">
        <v>22</v>
      </c>
      <c r="N732" t="s">
        <v>46</v>
      </c>
      <c r="O732">
        <f>Table2[[#This Row],[Unit_Cost]]*Table2[[#This Row],[Quantity_Sold]]</f>
        <v>98480.249999999985</v>
      </c>
      <c r="P732">
        <f t="shared" si="11"/>
        <v>-96521.799999999988</v>
      </c>
      <c r="Q732" s="3">
        <f>Table2[[#This Row],[Gross_Profit]]/Table2[[#This Row],[Sales_Amount]]</f>
        <v>-49.284791544333522</v>
      </c>
      <c r="R732" t="str">
        <f>TEXT(Table2[[#This Row],[Sale_Date]],"mmmm")</f>
        <v>September</v>
      </c>
      <c r="S732" s="4">
        <f>YEAR(Table2[[#This Row],[Sale_Date]])</f>
        <v>2023</v>
      </c>
    </row>
    <row r="733" spans="1:19" x14ac:dyDescent="0.35">
      <c r="A733">
        <v>1057</v>
      </c>
      <c r="B733" s="1">
        <v>44957</v>
      </c>
      <c r="C733" t="s">
        <v>33</v>
      </c>
      <c r="D733" t="s">
        <v>15</v>
      </c>
      <c r="E733">
        <v>975.01</v>
      </c>
      <c r="F733">
        <v>36</v>
      </c>
      <c r="G733" t="s">
        <v>26</v>
      </c>
      <c r="H733">
        <v>4995.3</v>
      </c>
      <c r="I733">
        <v>5165.09</v>
      </c>
      <c r="J733" t="s">
        <v>17</v>
      </c>
      <c r="K733">
        <v>0.24</v>
      </c>
      <c r="L733" t="s">
        <v>18</v>
      </c>
      <c r="M733" t="s">
        <v>19</v>
      </c>
      <c r="N733" t="s">
        <v>53</v>
      </c>
      <c r="O733">
        <f>Table2[[#This Row],[Unit_Cost]]*Table2[[#This Row],[Quantity_Sold]]</f>
        <v>179830.80000000002</v>
      </c>
      <c r="P733">
        <f t="shared" si="11"/>
        <v>-178855.79</v>
      </c>
      <c r="Q733" s="3">
        <f>Table2[[#This Row],[Gross_Profit]]/Table2[[#This Row],[Sales_Amount]]</f>
        <v>-183.43995446200552</v>
      </c>
      <c r="R733" t="str">
        <f>TEXT(Table2[[#This Row],[Sale_Date]],"mmmm")</f>
        <v>January</v>
      </c>
      <c r="S733" s="4">
        <f>YEAR(Table2[[#This Row],[Sale_Date]])</f>
        <v>2023</v>
      </c>
    </row>
    <row r="734" spans="1:19" x14ac:dyDescent="0.35">
      <c r="A734">
        <v>1018</v>
      </c>
      <c r="B734" s="1">
        <v>44949</v>
      </c>
      <c r="C734" t="s">
        <v>24</v>
      </c>
      <c r="D734" t="s">
        <v>15</v>
      </c>
      <c r="E734">
        <v>7019.59</v>
      </c>
      <c r="F734">
        <v>20</v>
      </c>
      <c r="G734" t="s">
        <v>16</v>
      </c>
      <c r="H734">
        <v>1140.6199999999999</v>
      </c>
      <c r="I734">
        <v>1258.6299999999901</v>
      </c>
      <c r="J734" t="s">
        <v>17</v>
      </c>
      <c r="K734">
        <v>0.26</v>
      </c>
      <c r="L734" t="s">
        <v>27</v>
      </c>
      <c r="M734" t="s">
        <v>19</v>
      </c>
      <c r="N734" t="s">
        <v>45</v>
      </c>
      <c r="O734">
        <f>Table2[[#This Row],[Unit_Cost]]*Table2[[#This Row],[Quantity_Sold]]</f>
        <v>22812.399999999998</v>
      </c>
      <c r="P734">
        <f t="shared" si="11"/>
        <v>-15792.809999999998</v>
      </c>
      <c r="Q734" s="3">
        <f>Table2[[#This Row],[Gross_Profit]]/Table2[[#This Row],[Sales_Amount]]</f>
        <v>-2.2498194338985606</v>
      </c>
      <c r="R734" t="str">
        <f>TEXT(Table2[[#This Row],[Sale_Date]],"mmmm")</f>
        <v>January</v>
      </c>
      <c r="S734" s="4">
        <f>YEAR(Table2[[#This Row],[Sale_Date]])</f>
        <v>2023</v>
      </c>
    </row>
    <row r="735" spans="1:19" x14ac:dyDescent="0.35">
      <c r="A735">
        <v>1047</v>
      </c>
      <c r="B735" s="1">
        <v>45086</v>
      </c>
      <c r="C735" t="s">
        <v>24</v>
      </c>
      <c r="D735" t="s">
        <v>34</v>
      </c>
      <c r="E735">
        <v>3746.64</v>
      </c>
      <c r="F735">
        <v>18</v>
      </c>
      <c r="G735" t="s">
        <v>29</v>
      </c>
      <c r="H735">
        <v>560.91999999999996</v>
      </c>
      <c r="I735">
        <v>1024.31</v>
      </c>
      <c r="J735" t="s">
        <v>17</v>
      </c>
      <c r="K735">
        <v>0.26</v>
      </c>
      <c r="L735" t="s">
        <v>18</v>
      </c>
      <c r="M735" t="s">
        <v>19</v>
      </c>
      <c r="N735" t="s">
        <v>50</v>
      </c>
      <c r="O735">
        <f>Table2[[#This Row],[Unit_Cost]]*Table2[[#This Row],[Quantity_Sold]]</f>
        <v>10096.56</v>
      </c>
      <c r="P735">
        <f t="shared" si="11"/>
        <v>-6349.92</v>
      </c>
      <c r="Q735" s="3">
        <f>Table2[[#This Row],[Gross_Profit]]/Table2[[#This Row],[Sales_Amount]]</f>
        <v>-1.6948305681890976</v>
      </c>
      <c r="R735" t="str">
        <f>TEXT(Table2[[#This Row],[Sale_Date]],"mmmm")</f>
        <v>June</v>
      </c>
      <c r="S735" s="4">
        <f>YEAR(Table2[[#This Row],[Sale_Date]])</f>
        <v>2023</v>
      </c>
    </row>
    <row r="736" spans="1:19" x14ac:dyDescent="0.35">
      <c r="A736">
        <v>1049</v>
      </c>
      <c r="B736" s="1">
        <v>45289</v>
      </c>
      <c r="C736" t="s">
        <v>33</v>
      </c>
      <c r="D736" t="s">
        <v>25</v>
      </c>
      <c r="E736">
        <v>4380.2299999999996</v>
      </c>
      <c r="F736">
        <v>38</v>
      </c>
      <c r="G736" t="s">
        <v>26</v>
      </c>
      <c r="H736">
        <v>2945.92</v>
      </c>
      <c r="I736">
        <v>3381.22</v>
      </c>
      <c r="J736" t="s">
        <v>17</v>
      </c>
      <c r="K736">
        <v>0.23</v>
      </c>
      <c r="L736" t="s">
        <v>18</v>
      </c>
      <c r="M736" t="s">
        <v>22</v>
      </c>
      <c r="N736" t="s">
        <v>44</v>
      </c>
      <c r="O736">
        <f>Table2[[#This Row],[Unit_Cost]]*Table2[[#This Row],[Quantity_Sold]]</f>
        <v>111944.96000000001</v>
      </c>
      <c r="P736">
        <f t="shared" si="11"/>
        <v>-107564.73000000001</v>
      </c>
      <c r="Q736" s="3">
        <f>Table2[[#This Row],[Gross_Profit]]/Table2[[#This Row],[Sales_Amount]]</f>
        <v>-24.556868018346073</v>
      </c>
      <c r="R736" t="str">
        <f>TEXT(Table2[[#This Row],[Sale_Date]],"mmmm")</f>
        <v>December</v>
      </c>
      <c r="S736" s="4">
        <f>YEAR(Table2[[#This Row],[Sale_Date]])</f>
        <v>2023</v>
      </c>
    </row>
    <row r="737" spans="1:19" x14ac:dyDescent="0.35">
      <c r="A737">
        <v>1014</v>
      </c>
      <c r="B737" s="1">
        <v>45084</v>
      </c>
      <c r="C737" t="s">
        <v>42</v>
      </c>
      <c r="D737" t="s">
        <v>15</v>
      </c>
      <c r="E737">
        <v>408.38</v>
      </c>
      <c r="F737">
        <v>3</v>
      </c>
      <c r="G737" t="s">
        <v>35</v>
      </c>
      <c r="H737">
        <v>2468.29</v>
      </c>
      <c r="I737">
        <v>2723.13</v>
      </c>
      <c r="J737" t="s">
        <v>17</v>
      </c>
      <c r="K737">
        <v>0.08</v>
      </c>
      <c r="L737" t="s">
        <v>18</v>
      </c>
      <c r="M737" t="s">
        <v>22</v>
      </c>
      <c r="N737" t="s">
        <v>49</v>
      </c>
      <c r="O737">
        <f>Table2[[#This Row],[Unit_Cost]]*Table2[[#This Row],[Quantity_Sold]]</f>
        <v>7404.87</v>
      </c>
      <c r="P737">
        <f t="shared" si="11"/>
        <v>-6996.49</v>
      </c>
      <c r="Q737" s="3">
        <f>Table2[[#This Row],[Gross_Profit]]/Table2[[#This Row],[Sales_Amount]]</f>
        <v>-17.132303246975855</v>
      </c>
      <c r="R737" t="str">
        <f>TEXT(Table2[[#This Row],[Sale_Date]],"mmmm")</f>
        <v>June</v>
      </c>
      <c r="S737" s="4">
        <f>YEAR(Table2[[#This Row],[Sale_Date]])</f>
        <v>2023</v>
      </c>
    </row>
    <row r="738" spans="1:19" x14ac:dyDescent="0.35">
      <c r="A738">
        <v>1015</v>
      </c>
      <c r="B738" s="1">
        <v>44965</v>
      </c>
      <c r="C738" t="s">
        <v>33</v>
      </c>
      <c r="D738" t="s">
        <v>34</v>
      </c>
      <c r="E738">
        <v>2669.81</v>
      </c>
      <c r="F738">
        <v>23</v>
      </c>
      <c r="G738" t="s">
        <v>35</v>
      </c>
      <c r="H738">
        <v>2644.77</v>
      </c>
      <c r="I738">
        <v>2684.83</v>
      </c>
      <c r="J738" t="s">
        <v>30</v>
      </c>
      <c r="K738">
        <v>0.24</v>
      </c>
      <c r="L738" t="s">
        <v>18</v>
      </c>
      <c r="M738" t="s">
        <v>19</v>
      </c>
      <c r="N738" t="s">
        <v>36</v>
      </c>
      <c r="O738">
        <f>Table2[[#This Row],[Unit_Cost]]*Table2[[#This Row],[Quantity_Sold]]</f>
        <v>60829.71</v>
      </c>
      <c r="P738">
        <f t="shared" si="11"/>
        <v>-58159.9</v>
      </c>
      <c r="Q738" s="3">
        <f>Table2[[#This Row],[Gross_Profit]]/Table2[[#This Row],[Sales_Amount]]</f>
        <v>-21.784284274910949</v>
      </c>
      <c r="R738" t="str">
        <f>TEXT(Table2[[#This Row],[Sale_Date]],"mmmm")</f>
        <v>February</v>
      </c>
      <c r="S738" s="4">
        <f>YEAR(Table2[[#This Row],[Sale_Date]])</f>
        <v>2023</v>
      </c>
    </row>
    <row r="739" spans="1:19" x14ac:dyDescent="0.35">
      <c r="A739">
        <v>1031</v>
      </c>
      <c r="B739" s="1">
        <v>45008</v>
      </c>
      <c r="C739" t="s">
        <v>38</v>
      </c>
      <c r="D739" t="s">
        <v>34</v>
      </c>
      <c r="E739">
        <v>433.4</v>
      </c>
      <c r="F739">
        <v>32</v>
      </c>
      <c r="G739" t="s">
        <v>29</v>
      </c>
      <c r="H739">
        <v>3351.33</v>
      </c>
      <c r="I739">
        <v>3711.47</v>
      </c>
      <c r="J739" t="s">
        <v>30</v>
      </c>
      <c r="K739">
        <v>0.16</v>
      </c>
      <c r="L739" t="s">
        <v>18</v>
      </c>
      <c r="M739" t="s">
        <v>22</v>
      </c>
      <c r="N739" t="s">
        <v>48</v>
      </c>
      <c r="O739">
        <f>Table2[[#This Row],[Unit_Cost]]*Table2[[#This Row],[Quantity_Sold]]</f>
        <v>107242.56</v>
      </c>
      <c r="P739">
        <f t="shared" si="11"/>
        <v>-106809.16</v>
      </c>
      <c r="Q739" s="3">
        <f>Table2[[#This Row],[Gross_Profit]]/Table2[[#This Row],[Sales_Amount]]</f>
        <v>-246.44476234425474</v>
      </c>
      <c r="R739" t="str">
        <f>TEXT(Table2[[#This Row],[Sale_Date]],"mmmm")</f>
        <v>March</v>
      </c>
      <c r="S739" s="4">
        <f>YEAR(Table2[[#This Row],[Sale_Date]])</f>
        <v>2023</v>
      </c>
    </row>
    <row r="740" spans="1:19" x14ac:dyDescent="0.35">
      <c r="A740">
        <v>1001</v>
      </c>
      <c r="B740" s="1">
        <v>45282</v>
      </c>
      <c r="C740" t="s">
        <v>24</v>
      </c>
      <c r="D740" t="s">
        <v>21</v>
      </c>
      <c r="E740">
        <v>8803.94</v>
      </c>
      <c r="F740">
        <v>45</v>
      </c>
      <c r="G740" t="s">
        <v>29</v>
      </c>
      <c r="H740">
        <v>1372.36</v>
      </c>
      <c r="I740">
        <v>1687.83</v>
      </c>
      <c r="J740" t="s">
        <v>30</v>
      </c>
      <c r="K740">
        <v>0.02</v>
      </c>
      <c r="L740" t="s">
        <v>31</v>
      </c>
      <c r="M740" t="s">
        <v>19</v>
      </c>
      <c r="N740" t="s">
        <v>47</v>
      </c>
      <c r="O740">
        <f>Table2[[#This Row],[Unit_Cost]]*Table2[[#This Row],[Quantity_Sold]]</f>
        <v>61756.2</v>
      </c>
      <c r="P740">
        <f t="shared" si="11"/>
        <v>-52952.259999999995</v>
      </c>
      <c r="Q740" s="3">
        <f>Table2[[#This Row],[Gross_Profit]]/Table2[[#This Row],[Sales_Amount]]</f>
        <v>-6.0146093680783821</v>
      </c>
      <c r="R740" t="str">
        <f>TEXT(Table2[[#This Row],[Sale_Date]],"mmmm")</f>
        <v>December</v>
      </c>
      <c r="S740" s="4">
        <f>YEAR(Table2[[#This Row],[Sale_Date]])</f>
        <v>2023</v>
      </c>
    </row>
    <row r="741" spans="1:19" x14ac:dyDescent="0.3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c r="O741">
        <f>Table2[[#This Row],[Unit_Cost]]*Table2[[#This Row],[Quantity_Sold]]</f>
        <v>72924.639999999999</v>
      </c>
      <c r="P741">
        <f t="shared" si="11"/>
        <v>-70415.009999999995</v>
      </c>
      <c r="Q741" s="3">
        <f>Table2[[#This Row],[Gross_Profit]]/Table2[[#This Row],[Sales_Amount]]</f>
        <v>-28.057924873387709</v>
      </c>
      <c r="R741" t="str">
        <f>TEXT(Table2[[#This Row],[Sale_Date]],"mmmm")</f>
        <v>September</v>
      </c>
      <c r="S741" s="4">
        <f>YEAR(Table2[[#This Row],[Sale_Date]])</f>
        <v>2023</v>
      </c>
    </row>
    <row r="742" spans="1:19" x14ac:dyDescent="0.35">
      <c r="A742">
        <v>1003</v>
      </c>
      <c r="B742" s="1">
        <v>45132</v>
      </c>
      <c r="C742" t="s">
        <v>38</v>
      </c>
      <c r="D742" t="s">
        <v>21</v>
      </c>
      <c r="E742">
        <v>5617.64</v>
      </c>
      <c r="F742">
        <v>5</v>
      </c>
      <c r="G742" t="s">
        <v>26</v>
      </c>
      <c r="H742">
        <v>2206.58</v>
      </c>
      <c r="I742">
        <v>2490.4699999999998</v>
      </c>
      <c r="J742" t="s">
        <v>30</v>
      </c>
      <c r="K742">
        <v>0.28000000000000003</v>
      </c>
      <c r="L742" t="s">
        <v>18</v>
      </c>
      <c r="M742" t="s">
        <v>19</v>
      </c>
      <c r="N742" t="s">
        <v>41</v>
      </c>
      <c r="O742">
        <f>Table2[[#This Row],[Unit_Cost]]*Table2[[#This Row],[Quantity_Sold]]</f>
        <v>11032.9</v>
      </c>
      <c r="P742">
        <f t="shared" si="11"/>
        <v>-5415.2599999999993</v>
      </c>
      <c r="Q742" s="3">
        <f>Table2[[#This Row],[Gross_Profit]]/Table2[[#This Row],[Sales_Amount]]</f>
        <v>-0.96397419556966968</v>
      </c>
      <c r="R742" t="str">
        <f>TEXT(Table2[[#This Row],[Sale_Date]],"mmmm")</f>
        <v>July</v>
      </c>
      <c r="S742" s="4">
        <f>YEAR(Table2[[#This Row],[Sale_Date]])</f>
        <v>2023</v>
      </c>
    </row>
    <row r="743" spans="1:19" x14ac:dyDescent="0.35">
      <c r="A743">
        <v>1016</v>
      </c>
      <c r="B743" s="1">
        <v>45003</v>
      </c>
      <c r="C743" t="s">
        <v>24</v>
      </c>
      <c r="D743" t="s">
        <v>25</v>
      </c>
      <c r="E743">
        <v>485.9</v>
      </c>
      <c r="F743">
        <v>4</v>
      </c>
      <c r="G743" t="s">
        <v>26</v>
      </c>
      <c r="H743">
        <v>688.98</v>
      </c>
      <c r="I743">
        <v>863.81</v>
      </c>
      <c r="J743" t="s">
        <v>30</v>
      </c>
      <c r="K743">
        <v>0.27</v>
      </c>
      <c r="L743" t="s">
        <v>31</v>
      </c>
      <c r="M743" t="s">
        <v>22</v>
      </c>
      <c r="N743" t="s">
        <v>28</v>
      </c>
      <c r="O743">
        <f>Table2[[#This Row],[Unit_Cost]]*Table2[[#This Row],[Quantity_Sold]]</f>
        <v>2755.92</v>
      </c>
      <c r="P743">
        <f t="shared" si="11"/>
        <v>-2270.02</v>
      </c>
      <c r="Q743" s="3">
        <f>Table2[[#This Row],[Gross_Profit]]/Table2[[#This Row],[Sales_Amount]]</f>
        <v>-4.6717843177608565</v>
      </c>
      <c r="R743" t="str">
        <f>TEXT(Table2[[#This Row],[Sale_Date]],"mmmm")</f>
        <v>March</v>
      </c>
      <c r="S743" s="4">
        <f>YEAR(Table2[[#This Row],[Sale_Date]])</f>
        <v>2023</v>
      </c>
    </row>
    <row r="744" spans="1:19" x14ac:dyDescent="0.35">
      <c r="A744">
        <v>1087</v>
      </c>
      <c r="B744" s="1">
        <v>44938</v>
      </c>
      <c r="C744" t="s">
        <v>33</v>
      </c>
      <c r="D744" t="s">
        <v>15</v>
      </c>
      <c r="E744">
        <v>6701.79</v>
      </c>
      <c r="F744">
        <v>21</v>
      </c>
      <c r="G744" t="s">
        <v>26</v>
      </c>
      <c r="H744">
        <v>3724.38</v>
      </c>
      <c r="I744">
        <v>3988.7</v>
      </c>
      <c r="J744" t="s">
        <v>30</v>
      </c>
      <c r="K744">
        <v>0.03</v>
      </c>
      <c r="L744" t="s">
        <v>27</v>
      </c>
      <c r="M744" t="s">
        <v>22</v>
      </c>
      <c r="N744" t="s">
        <v>53</v>
      </c>
      <c r="O744">
        <f>Table2[[#This Row],[Unit_Cost]]*Table2[[#This Row],[Quantity_Sold]]</f>
        <v>78211.98</v>
      </c>
      <c r="P744">
        <f t="shared" si="11"/>
        <v>-71510.19</v>
      </c>
      <c r="Q744" s="3">
        <f>Table2[[#This Row],[Gross_Profit]]/Table2[[#This Row],[Sales_Amount]]</f>
        <v>-10.670311961431199</v>
      </c>
      <c r="R744" t="str">
        <f>TEXT(Table2[[#This Row],[Sale_Date]],"mmmm")</f>
        <v>January</v>
      </c>
      <c r="S744" s="4">
        <f>YEAR(Table2[[#This Row],[Sale_Date]])</f>
        <v>2023</v>
      </c>
    </row>
    <row r="745" spans="1:19" x14ac:dyDescent="0.35">
      <c r="A745">
        <v>1057</v>
      </c>
      <c r="B745" s="1">
        <v>45221</v>
      </c>
      <c r="C745" t="s">
        <v>38</v>
      </c>
      <c r="D745" t="s">
        <v>25</v>
      </c>
      <c r="E745">
        <v>3297.97</v>
      </c>
      <c r="F745">
        <v>40</v>
      </c>
      <c r="G745" t="s">
        <v>29</v>
      </c>
      <c r="H745">
        <v>3233.37</v>
      </c>
      <c r="I745">
        <v>3723.21</v>
      </c>
      <c r="J745" t="s">
        <v>30</v>
      </c>
      <c r="K745">
        <v>0.22</v>
      </c>
      <c r="L745" t="s">
        <v>27</v>
      </c>
      <c r="M745" t="s">
        <v>22</v>
      </c>
      <c r="N745" t="s">
        <v>39</v>
      </c>
      <c r="O745">
        <f>Table2[[#This Row],[Unit_Cost]]*Table2[[#This Row],[Quantity_Sold]]</f>
        <v>129334.79999999999</v>
      </c>
      <c r="P745">
        <f t="shared" si="11"/>
        <v>-126036.82999999999</v>
      </c>
      <c r="Q745" s="3">
        <f>Table2[[#This Row],[Gross_Profit]]/Table2[[#This Row],[Sales_Amount]]</f>
        <v>-38.216487718202409</v>
      </c>
      <c r="R745" t="str">
        <f>TEXT(Table2[[#This Row],[Sale_Date]],"mmmm")</f>
        <v>October</v>
      </c>
      <c r="S745" s="4">
        <f>YEAR(Table2[[#This Row],[Sale_Date]])</f>
        <v>2023</v>
      </c>
    </row>
    <row r="746" spans="1:19" x14ac:dyDescent="0.35">
      <c r="A746">
        <v>1075</v>
      </c>
      <c r="B746" s="1">
        <v>45150</v>
      </c>
      <c r="C746" t="s">
        <v>24</v>
      </c>
      <c r="D746" t="s">
        <v>34</v>
      </c>
      <c r="E746">
        <v>8989.4</v>
      </c>
      <c r="F746">
        <v>14</v>
      </c>
      <c r="G746" t="s">
        <v>16</v>
      </c>
      <c r="H746">
        <v>1612.93</v>
      </c>
      <c r="I746">
        <v>1964.15</v>
      </c>
      <c r="J746" t="s">
        <v>17</v>
      </c>
      <c r="K746">
        <v>0.24</v>
      </c>
      <c r="L746" t="s">
        <v>27</v>
      </c>
      <c r="M746" t="s">
        <v>22</v>
      </c>
      <c r="N746" t="s">
        <v>50</v>
      </c>
      <c r="O746">
        <f>Table2[[#This Row],[Unit_Cost]]*Table2[[#This Row],[Quantity_Sold]]</f>
        <v>22581.02</v>
      </c>
      <c r="P746">
        <f t="shared" si="11"/>
        <v>-13591.62</v>
      </c>
      <c r="Q746" s="3">
        <f>Table2[[#This Row],[Gross_Profit]]/Table2[[#This Row],[Sales_Amount]]</f>
        <v>-1.5119607537766704</v>
      </c>
      <c r="R746" t="str">
        <f>TEXT(Table2[[#This Row],[Sale_Date]],"mmmm")</f>
        <v>August</v>
      </c>
      <c r="S746" s="4">
        <f>YEAR(Table2[[#This Row],[Sale_Date]])</f>
        <v>2023</v>
      </c>
    </row>
    <row r="747" spans="1:19" x14ac:dyDescent="0.35">
      <c r="A747">
        <v>1012</v>
      </c>
      <c r="B747" s="1">
        <v>44939</v>
      </c>
      <c r="C747" t="s">
        <v>42</v>
      </c>
      <c r="D747" t="s">
        <v>34</v>
      </c>
      <c r="E747">
        <v>8892.3700000000008</v>
      </c>
      <c r="F747">
        <v>39</v>
      </c>
      <c r="G747" t="s">
        <v>16</v>
      </c>
      <c r="H747">
        <v>3126.52</v>
      </c>
      <c r="I747">
        <v>3465.79</v>
      </c>
      <c r="J747" t="s">
        <v>30</v>
      </c>
      <c r="K747">
        <v>0.08</v>
      </c>
      <c r="L747" t="s">
        <v>18</v>
      </c>
      <c r="M747" t="s">
        <v>19</v>
      </c>
      <c r="N747" t="s">
        <v>52</v>
      </c>
      <c r="O747">
        <f>Table2[[#This Row],[Unit_Cost]]*Table2[[#This Row],[Quantity_Sold]]</f>
        <v>121934.28</v>
      </c>
      <c r="P747">
        <f t="shared" si="11"/>
        <v>-113041.91</v>
      </c>
      <c r="Q747" s="3">
        <f>Table2[[#This Row],[Gross_Profit]]/Table2[[#This Row],[Sales_Amount]]</f>
        <v>-12.712236445402068</v>
      </c>
      <c r="R747" t="str">
        <f>TEXT(Table2[[#This Row],[Sale_Date]],"mmmm")</f>
        <v>January</v>
      </c>
      <c r="S747" s="4">
        <f>YEAR(Table2[[#This Row],[Sale_Date]])</f>
        <v>2023</v>
      </c>
    </row>
    <row r="748" spans="1:19" x14ac:dyDescent="0.35">
      <c r="A748">
        <v>1074</v>
      </c>
      <c r="B748" s="1">
        <v>44972</v>
      </c>
      <c r="C748" t="s">
        <v>42</v>
      </c>
      <c r="D748" t="s">
        <v>25</v>
      </c>
      <c r="E748">
        <v>3320.38</v>
      </c>
      <c r="F748">
        <v>31</v>
      </c>
      <c r="G748" t="s">
        <v>16</v>
      </c>
      <c r="H748">
        <v>1138.32</v>
      </c>
      <c r="I748">
        <v>1266.25</v>
      </c>
      <c r="J748" t="s">
        <v>17</v>
      </c>
      <c r="K748">
        <v>0.14000000000000001</v>
      </c>
      <c r="L748" t="s">
        <v>18</v>
      </c>
      <c r="M748" t="s">
        <v>22</v>
      </c>
      <c r="N748" t="s">
        <v>43</v>
      </c>
      <c r="O748">
        <f>Table2[[#This Row],[Unit_Cost]]*Table2[[#This Row],[Quantity_Sold]]</f>
        <v>35287.919999999998</v>
      </c>
      <c r="P748">
        <f t="shared" si="11"/>
        <v>-31967.539999999997</v>
      </c>
      <c r="Q748" s="3">
        <f>Table2[[#This Row],[Gross_Profit]]/Table2[[#This Row],[Sales_Amount]]</f>
        <v>-9.6276751456158625</v>
      </c>
      <c r="R748" t="str">
        <f>TEXT(Table2[[#This Row],[Sale_Date]],"mmmm")</f>
        <v>February</v>
      </c>
      <c r="S748" s="4">
        <f>YEAR(Table2[[#This Row],[Sale_Date]])</f>
        <v>2023</v>
      </c>
    </row>
    <row r="749" spans="1:19" x14ac:dyDescent="0.35">
      <c r="A749">
        <v>1096</v>
      </c>
      <c r="B749" s="1">
        <v>45081</v>
      </c>
      <c r="C749" t="s">
        <v>14</v>
      </c>
      <c r="D749" t="s">
        <v>25</v>
      </c>
      <c r="E749">
        <v>9019.51</v>
      </c>
      <c r="F749">
        <v>14</v>
      </c>
      <c r="G749" t="s">
        <v>16</v>
      </c>
      <c r="H749">
        <v>2251.9499999999998</v>
      </c>
      <c r="I749">
        <v>2626.3199999999902</v>
      </c>
      <c r="J749" t="s">
        <v>17</v>
      </c>
      <c r="K749">
        <v>0.21</v>
      </c>
      <c r="L749" t="s">
        <v>31</v>
      </c>
      <c r="M749" t="s">
        <v>19</v>
      </c>
      <c r="N749" t="s">
        <v>32</v>
      </c>
      <c r="O749">
        <f>Table2[[#This Row],[Unit_Cost]]*Table2[[#This Row],[Quantity_Sold]]</f>
        <v>31527.299999999996</v>
      </c>
      <c r="P749">
        <f t="shared" si="11"/>
        <v>-22507.789999999994</v>
      </c>
      <c r="Q749" s="3">
        <f>Table2[[#This Row],[Gross_Profit]]/Table2[[#This Row],[Sales_Amount]]</f>
        <v>-2.4954559615766261</v>
      </c>
      <c r="R749" t="str">
        <f>TEXT(Table2[[#This Row],[Sale_Date]],"mmmm")</f>
        <v>June</v>
      </c>
      <c r="S749" s="4">
        <f>YEAR(Table2[[#This Row],[Sale_Date]])</f>
        <v>2023</v>
      </c>
    </row>
    <row r="750" spans="1:19" x14ac:dyDescent="0.35">
      <c r="A750">
        <v>1016</v>
      </c>
      <c r="B750" s="1">
        <v>45039</v>
      </c>
      <c r="C750" t="s">
        <v>24</v>
      </c>
      <c r="D750" t="s">
        <v>25</v>
      </c>
      <c r="E750">
        <v>9961.9599999999991</v>
      </c>
      <c r="F750">
        <v>6</v>
      </c>
      <c r="G750" t="s">
        <v>16</v>
      </c>
      <c r="H750">
        <v>4502.09</v>
      </c>
      <c r="I750">
        <v>4879.72</v>
      </c>
      <c r="J750" t="s">
        <v>30</v>
      </c>
      <c r="K750">
        <v>0.13</v>
      </c>
      <c r="L750" t="s">
        <v>31</v>
      </c>
      <c r="M750" t="s">
        <v>19</v>
      </c>
      <c r="N750" t="s">
        <v>28</v>
      </c>
      <c r="O750">
        <f>Table2[[#This Row],[Unit_Cost]]*Table2[[#This Row],[Quantity_Sold]]</f>
        <v>27012.54</v>
      </c>
      <c r="P750">
        <f t="shared" si="11"/>
        <v>-17050.580000000002</v>
      </c>
      <c r="Q750" s="3">
        <f>Table2[[#This Row],[Gross_Profit]]/Table2[[#This Row],[Sales_Amount]]</f>
        <v>-1.7115688077446609</v>
      </c>
      <c r="R750" t="str">
        <f>TEXT(Table2[[#This Row],[Sale_Date]],"mmmm")</f>
        <v>April</v>
      </c>
      <c r="S750" s="4">
        <f>YEAR(Table2[[#This Row],[Sale_Date]])</f>
        <v>2023</v>
      </c>
    </row>
    <row r="751" spans="1:19" x14ac:dyDescent="0.35">
      <c r="A751">
        <v>1072</v>
      </c>
      <c r="B751" s="1">
        <v>45159</v>
      </c>
      <c r="C751" t="s">
        <v>42</v>
      </c>
      <c r="D751" t="s">
        <v>21</v>
      </c>
      <c r="E751">
        <v>8271.6200000000008</v>
      </c>
      <c r="F751">
        <v>12</v>
      </c>
      <c r="G751" t="s">
        <v>29</v>
      </c>
      <c r="H751">
        <v>710.99</v>
      </c>
      <c r="I751">
        <v>876.46</v>
      </c>
      <c r="J751" t="s">
        <v>17</v>
      </c>
      <c r="K751">
        <v>0.03</v>
      </c>
      <c r="L751" t="s">
        <v>31</v>
      </c>
      <c r="M751" t="s">
        <v>19</v>
      </c>
      <c r="N751" t="s">
        <v>51</v>
      </c>
      <c r="O751">
        <f>Table2[[#This Row],[Unit_Cost]]*Table2[[#This Row],[Quantity_Sold]]</f>
        <v>8531.880000000001</v>
      </c>
      <c r="P751">
        <f t="shared" si="11"/>
        <v>-260.26000000000022</v>
      </c>
      <c r="Q751" s="3">
        <f>Table2[[#This Row],[Gross_Profit]]/Table2[[#This Row],[Sales_Amount]]</f>
        <v>-3.1464211363674853E-2</v>
      </c>
      <c r="R751" t="str">
        <f>TEXT(Table2[[#This Row],[Sale_Date]],"mmmm")</f>
        <v>August</v>
      </c>
      <c r="S751" s="4">
        <f>YEAR(Table2[[#This Row],[Sale_Date]])</f>
        <v>2023</v>
      </c>
    </row>
    <row r="752" spans="1:19" x14ac:dyDescent="0.35">
      <c r="A752">
        <v>1076</v>
      </c>
      <c r="B752" s="1">
        <v>44943</v>
      </c>
      <c r="C752" t="s">
        <v>33</v>
      </c>
      <c r="D752" t="s">
        <v>25</v>
      </c>
      <c r="E752">
        <v>8464.23</v>
      </c>
      <c r="F752">
        <v>16</v>
      </c>
      <c r="G752" t="s">
        <v>29</v>
      </c>
      <c r="H752">
        <v>1964.15</v>
      </c>
      <c r="I752">
        <v>2211.17</v>
      </c>
      <c r="J752" t="s">
        <v>17</v>
      </c>
      <c r="K752">
        <v>0.21</v>
      </c>
      <c r="L752" t="s">
        <v>27</v>
      </c>
      <c r="M752" t="s">
        <v>19</v>
      </c>
      <c r="N752" t="s">
        <v>44</v>
      </c>
      <c r="O752">
        <f>Table2[[#This Row],[Unit_Cost]]*Table2[[#This Row],[Quantity_Sold]]</f>
        <v>31426.400000000001</v>
      </c>
      <c r="P752">
        <f t="shared" si="11"/>
        <v>-22962.170000000002</v>
      </c>
      <c r="Q752" s="3">
        <f>Table2[[#This Row],[Gross_Profit]]/Table2[[#This Row],[Sales_Amount]]</f>
        <v>-2.7128480676919229</v>
      </c>
      <c r="R752" t="str">
        <f>TEXT(Table2[[#This Row],[Sale_Date]],"mmmm")</f>
        <v>January</v>
      </c>
      <c r="S752" s="4">
        <f>YEAR(Table2[[#This Row],[Sale_Date]])</f>
        <v>2023</v>
      </c>
    </row>
    <row r="753" spans="1:19" x14ac:dyDescent="0.35">
      <c r="A753">
        <v>1024</v>
      </c>
      <c r="B753" s="1">
        <v>45286</v>
      </c>
      <c r="C753" t="s">
        <v>24</v>
      </c>
      <c r="D753" t="s">
        <v>15</v>
      </c>
      <c r="E753">
        <v>2565.19</v>
      </c>
      <c r="F753">
        <v>17</v>
      </c>
      <c r="G753" t="s">
        <v>16</v>
      </c>
      <c r="H753">
        <v>4114.66</v>
      </c>
      <c r="I753">
        <v>4269.0199999999904</v>
      </c>
      <c r="J753" t="s">
        <v>17</v>
      </c>
      <c r="K753">
        <v>0.27</v>
      </c>
      <c r="L753" t="s">
        <v>27</v>
      </c>
      <c r="M753" t="s">
        <v>22</v>
      </c>
      <c r="N753" t="s">
        <v>45</v>
      </c>
      <c r="O753">
        <f>Table2[[#This Row],[Unit_Cost]]*Table2[[#This Row],[Quantity_Sold]]</f>
        <v>69949.22</v>
      </c>
      <c r="P753">
        <f t="shared" si="11"/>
        <v>-67384.03</v>
      </c>
      <c r="Q753" s="3">
        <f>Table2[[#This Row],[Gross_Profit]]/Table2[[#This Row],[Sales_Amount]]</f>
        <v>-26.26863117351931</v>
      </c>
      <c r="R753" t="str">
        <f>TEXT(Table2[[#This Row],[Sale_Date]],"mmmm")</f>
        <v>December</v>
      </c>
      <c r="S753" s="4">
        <f>YEAR(Table2[[#This Row],[Sale_Date]])</f>
        <v>2023</v>
      </c>
    </row>
    <row r="754" spans="1:19" x14ac:dyDescent="0.35">
      <c r="A754">
        <v>1028</v>
      </c>
      <c r="B754" s="1">
        <v>45149</v>
      </c>
      <c r="C754" t="s">
        <v>33</v>
      </c>
      <c r="D754" t="s">
        <v>21</v>
      </c>
      <c r="E754">
        <v>5809.35</v>
      </c>
      <c r="F754">
        <v>45</v>
      </c>
      <c r="G754" t="s">
        <v>29</v>
      </c>
      <c r="H754">
        <v>4848.9799999999996</v>
      </c>
      <c r="I754">
        <v>4985.75</v>
      </c>
      <c r="J754" t="s">
        <v>17</v>
      </c>
      <c r="K754">
        <v>0.2</v>
      </c>
      <c r="L754" t="s">
        <v>27</v>
      </c>
      <c r="M754" t="s">
        <v>19</v>
      </c>
      <c r="N754" t="s">
        <v>37</v>
      </c>
      <c r="O754">
        <f>Table2[[#This Row],[Unit_Cost]]*Table2[[#This Row],[Quantity_Sold]]</f>
        <v>218204.09999999998</v>
      </c>
      <c r="P754">
        <f t="shared" si="11"/>
        <v>-212394.74999999997</v>
      </c>
      <c r="Q754" s="3">
        <f>Table2[[#This Row],[Gross_Profit]]/Table2[[#This Row],[Sales_Amount]]</f>
        <v>-36.560845877766006</v>
      </c>
      <c r="R754" t="str">
        <f>TEXT(Table2[[#This Row],[Sale_Date]],"mmmm")</f>
        <v>August</v>
      </c>
      <c r="S754" s="4">
        <f>YEAR(Table2[[#This Row],[Sale_Date]])</f>
        <v>2023</v>
      </c>
    </row>
    <row r="755" spans="1:19" x14ac:dyDescent="0.35">
      <c r="A755">
        <v>1008</v>
      </c>
      <c r="B755" s="1">
        <v>45280</v>
      </c>
      <c r="C755" t="s">
        <v>33</v>
      </c>
      <c r="D755" t="s">
        <v>21</v>
      </c>
      <c r="E755">
        <v>765.83</v>
      </c>
      <c r="F755">
        <v>23</v>
      </c>
      <c r="G755" t="s">
        <v>29</v>
      </c>
      <c r="H755">
        <v>2296.9299999999998</v>
      </c>
      <c r="I755">
        <v>2319.62</v>
      </c>
      <c r="J755" t="s">
        <v>17</v>
      </c>
      <c r="K755">
        <v>0.23</v>
      </c>
      <c r="L755" t="s">
        <v>27</v>
      </c>
      <c r="M755" t="s">
        <v>22</v>
      </c>
      <c r="N755" t="s">
        <v>37</v>
      </c>
      <c r="O755">
        <f>Table2[[#This Row],[Unit_Cost]]*Table2[[#This Row],[Quantity_Sold]]</f>
        <v>52829.39</v>
      </c>
      <c r="P755">
        <f t="shared" si="11"/>
        <v>-52063.56</v>
      </c>
      <c r="Q755" s="3">
        <f>Table2[[#This Row],[Gross_Profit]]/Table2[[#This Row],[Sales_Amount]]</f>
        <v>-67.983181646057218</v>
      </c>
      <c r="R755" t="str">
        <f>TEXT(Table2[[#This Row],[Sale_Date]],"mmmm")</f>
        <v>December</v>
      </c>
      <c r="S755" s="4">
        <f>YEAR(Table2[[#This Row],[Sale_Date]])</f>
        <v>2023</v>
      </c>
    </row>
    <row r="756" spans="1:19" x14ac:dyDescent="0.35">
      <c r="A756">
        <v>1092</v>
      </c>
      <c r="B756" s="1">
        <v>45114</v>
      </c>
      <c r="C756" t="s">
        <v>42</v>
      </c>
      <c r="D756" t="s">
        <v>25</v>
      </c>
      <c r="E756">
        <v>1039.69</v>
      </c>
      <c r="F756">
        <v>14</v>
      </c>
      <c r="G756" t="s">
        <v>16</v>
      </c>
      <c r="H756">
        <v>2559.65</v>
      </c>
      <c r="I756">
        <v>2709.4</v>
      </c>
      <c r="J756" t="s">
        <v>17</v>
      </c>
      <c r="K756">
        <v>0.11</v>
      </c>
      <c r="L756" t="s">
        <v>31</v>
      </c>
      <c r="M756" t="s">
        <v>22</v>
      </c>
      <c r="N756" t="s">
        <v>43</v>
      </c>
      <c r="O756">
        <f>Table2[[#This Row],[Unit_Cost]]*Table2[[#This Row],[Quantity_Sold]]</f>
        <v>35835.1</v>
      </c>
      <c r="P756">
        <f t="shared" si="11"/>
        <v>-34795.409999999996</v>
      </c>
      <c r="Q756" s="3">
        <f>Table2[[#This Row],[Gross_Profit]]/Table2[[#This Row],[Sales_Amount]]</f>
        <v>-33.467100770421951</v>
      </c>
      <c r="R756" t="str">
        <f>TEXT(Table2[[#This Row],[Sale_Date]],"mmmm")</f>
        <v>July</v>
      </c>
      <c r="S756" s="4">
        <f>YEAR(Table2[[#This Row],[Sale_Date]])</f>
        <v>2023</v>
      </c>
    </row>
    <row r="757" spans="1:19" x14ac:dyDescent="0.35">
      <c r="A757">
        <v>1036</v>
      </c>
      <c r="B757" s="1">
        <v>45270</v>
      </c>
      <c r="C757" t="s">
        <v>24</v>
      </c>
      <c r="D757" t="s">
        <v>15</v>
      </c>
      <c r="E757">
        <v>9989.0400000000009</v>
      </c>
      <c r="F757">
        <v>7</v>
      </c>
      <c r="G757" t="s">
        <v>26</v>
      </c>
      <c r="H757">
        <v>2882.25</v>
      </c>
      <c r="I757">
        <v>3163.7</v>
      </c>
      <c r="J757" t="s">
        <v>17</v>
      </c>
      <c r="K757">
        <v>0.05</v>
      </c>
      <c r="L757" t="s">
        <v>18</v>
      </c>
      <c r="M757" t="s">
        <v>22</v>
      </c>
      <c r="N757" t="s">
        <v>45</v>
      </c>
      <c r="O757">
        <f>Table2[[#This Row],[Unit_Cost]]*Table2[[#This Row],[Quantity_Sold]]</f>
        <v>20175.75</v>
      </c>
      <c r="P757">
        <f t="shared" si="11"/>
        <v>-10186.709999999999</v>
      </c>
      <c r="Q757" s="3">
        <f>Table2[[#This Row],[Gross_Profit]]/Table2[[#This Row],[Sales_Amount]]</f>
        <v>-1.0197886884024889</v>
      </c>
      <c r="R757" t="str">
        <f>TEXT(Table2[[#This Row],[Sale_Date]],"mmmm")</f>
        <v>December</v>
      </c>
      <c r="S757" s="4">
        <f>YEAR(Table2[[#This Row],[Sale_Date]])</f>
        <v>2023</v>
      </c>
    </row>
    <row r="758" spans="1:19" x14ac:dyDescent="0.35">
      <c r="A758">
        <v>1090</v>
      </c>
      <c r="B758" s="1">
        <v>45291</v>
      </c>
      <c r="C758" t="s">
        <v>38</v>
      </c>
      <c r="D758" t="s">
        <v>21</v>
      </c>
      <c r="E758">
        <v>3333.73</v>
      </c>
      <c r="F758">
        <v>46</v>
      </c>
      <c r="G758" t="s">
        <v>29</v>
      </c>
      <c r="H758">
        <v>4665.12</v>
      </c>
      <c r="I758">
        <v>4675.8999999999996</v>
      </c>
      <c r="J758" t="s">
        <v>30</v>
      </c>
      <c r="K758">
        <v>0.19</v>
      </c>
      <c r="L758" t="s">
        <v>18</v>
      </c>
      <c r="M758" t="s">
        <v>22</v>
      </c>
      <c r="N758" t="s">
        <v>41</v>
      </c>
      <c r="O758">
        <f>Table2[[#This Row],[Unit_Cost]]*Table2[[#This Row],[Quantity_Sold]]</f>
        <v>214595.52</v>
      </c>
      <c r="P758">
        <f t="shared" si="11"/>
        <v>-211261.78999999998</v>
      </c>
      <c r="Q758" s="3">
        <f>Table2[[#This Row],[Gross_Profit]]/Table2[[#This Row],[Sales_Amount]]</f>
        <v>-63.370995851493667</v>
      </c>
      <c r="R758" t="str">
        <f>TEXT(Table2[[#This Row],[Sale_Date]],"mmmm")</f>
        <v>December</v>
      </c>
      <c r="S758" s="4">
        <f>YEAR(Table2[[#This Row],[Sale_Date]])</f>
        <v>2023</v>
      </c>
    </row>
    <row r="759" spans="1:19" x14ac:dyDescent="0.35">
      <c r="A759">
        <v>1008</v>
      </c>
      <c r="B759" s="1">
        <v>45089</v>
      </c>
      <c r="C759" t="s">
        <v>42</v>
      </c>
      <c r="D759" t="s">
        <v>34</v>
      </c>
      <c r="E759">
        <v>7507.02</v>
      </c>
      <c r="F759">
        <v>32</v>
      </c>
      <c r="G759" t="s">
        <v>26</v>
      </c>
      <c r="H759">
        <v>4298.12</v>
      </c>
      <c r="I759">
        <v>4446.8999999999996</v>
      </c>
      <c r="J759" t="s">
        <v>30</v>
      </c>
      <c r="K759">
        <v>0.1</v>
      </c>
      <c r="L759" t="s">
        <v>27</v>
      </c>
      <c r="M759" t="s">
        <v>19</v>
      </c>
      <c r="N759" t="s">
        <v>52</v>
      </c>
      <c r="O759">
        <f>Table2[[#This Row],[Unit_Cost]]*Table2[[#This Row],[Quantity_Sold]]</f>
        <v>137539.84</v>
      </c>
      <c r="P759">
        <f t="shared" si="11"/>
        <v>-130032.81999999999</v>
      </c>
      <c r="Q759" s="3">
        <f>Table2[[#This Row],[Gross_Profit]]/Table2[[#This Row],[Sales_Amount]]</f>
        <v>-17.321496412691051</v>
      </c>
      <c r="R759" t="str">
        <f>TEXT(Table2[[#This Row],[Sale_Date]],"mmmm")</f>
        <v>June</v>
      </c>
      <c r="S759" s="4">
        <f>YEAR(Table2[[#This Row],[Sale_Date]])</f>
        <v>2023</v>
      </c>
    </row>
    <row r="760" spans="1:19" x14ac:dyDescent="0.35">
      <c r="A760">
        <v>1058</v>
      </c>
      <c r="B760" s="1">
        <v>45252</v>
      </c>
      <c r="C760" t="s">
        <v>42</v>
      </c>
      <c r="D760" t="s">
        <v>21</v>
      </c>
      <c r="E760">
        <v>8085.98</v>
      </c>
      <c r="F760">
        <v>15</v>
      </c>
      <c r="G760" t="s">
        <v>29</v>
      </c>
      <c r="H760">
        <v>894.48</v>
      </c>
      <c r="I760">
        <v>1336.37</v>
      </c>
      <c r="J760" t="s">
        <v>17</v>
      </c>
      <c r="K760">
        <v>0.26</v>
      </c>
      <c r="L760" t="s">
        <v>18</v>
      </c>
      <c r="M760" t="s">
        <v>22</v>
      </c>
      <c r="N760" t="s">
        <v>51</v>
      </c>
      <c r="O760">
        <f>Table2[[#This Row],[Unit_Cost]]*Table2[[#This Row],[Quantity_Sold]]</f>
        <v>13417.2</v>
      </c>
      <c r="P760">
        <f t="shared" si="11"/>
        <v>-5331.2200000000012</v>
      </c>
      <c r="Q760" s="3">
        <f>Table2[[#This Row],[Gross_Profit]]/Table2[[#This Row],[Sales_Amount]]</f>
        <v>-0.65931649595967357</v>
      </c>
      <c r="R760" t="str">
        <f>TEXT(Table2[[#This Row],[Sale_Date]],"mmmm")</f>
        <v>November</v>
      </c>
      <c r="S760" s="4">
        <f>YEAR(Table2[[#This Row],[Sale_Date]])</f>
        <v>2023</v>
      </c>
    </row>
    <row r="761" spans="1:19" x14ac:dyDescent="0.35">
      <c r="A761">
        <v>1060</v>
      </c>
      <c r="B761" s="1">
        <v>45000</v>
      </c>
      <c r="C761" t="s">
        <v>24</v>
      </c>
      <c r="D761" t="s">
        <v>25</v>
      </c>
      <c r="E761">
        <v>8594.43</v>
      </c>
      <c r="F761">
        <v>44</v>
      </c>
      <c r="G761" t="s">
        <v>29</v>
      </c>
      <c r="H761">
        <v>2211.9499999999998</v>
      </c>
      <c r="I761">
        <v>2512.8399999999901</v>
      </c>
      <c r="J761" t="s">
        <v>17</v>
      </c>
      <c r="K761">
        <v>0.04</v>
      </c>
      <c r="L761" t="s">
        <v>18</v>
      </c>
      <c r="M761" t="s">
        <v>19</v>
      </c>
      <c r="N761" t="s">
        <v>28</v>
      </c>
      <c r="O761">
        <f>Table2[[#This Row],[Unit_Cost]]*Table2[[#This Row],[Quantity_Sold]]</f>
        <v>97325.799999999988</v>
      </c>
      <c r="P761">
        <f t="shared" si="11"/>
        <v>-88731.37</v>
      </c>
      <c r="Q761" s="3">
        <f>Table2[[#This Row],[Gross_Profit]]/Table2[[#This Row],[Sales_Amount]]</f>
        <v>-10.32428793997973</v>
      </c>
      <c r="R761" t="str">
        <f>TEXT(Table2[[#This Row],[Sale_Date]],"mmmm")</f>
        <v>March</v>
      </c>
      <c r="S761" s="4">
        <f>YEAR(Table2[[#This Row],[Sale_Date]])</f>
        <v>2023</v>
      </c>
    </row>
    <row r="762" spans="1:19" x14ac:dyDescent="0.35">
      <c r="A762">
        <v>1050</v>
      </c>
      <c r="B762" s="1">
        <v>45159</v>
      </c>
      <c r="C762" t="s">
        <v>24</v>
      </c>
      <c r="D762" t="s">
        <v>15</v>
      </c>
      <c r="E762">
        <v>9976.52</v>
      </c>
      <c r="F762">
        <v>17</v>
      </c>
      <c r="G762" t="s">
        <v>16</v>
      </c>
      <c r="H762">
        <v>2346.8000000000002</v>
      </c>
      <c r="I762">
        <v>2654.65</v>
      </c>
      <c r="J762" t="s">
        <v>30</v>
      </c>
      <c r="K762">
        <v>0.13</v>
      </c>
      <c r="L762" t="s">
        <v>18</v>
      </c>
      <c r="M762" t="s">
        <v>22</v>
      </c>
      <c r="N762" t="s">
        <v>45</v>
      </c>
      <c r="O762">
        <f>Table2[[#This Row],[Unit_Cost]]*Table2[[#This Row],[Quantity_Sold]]</f>
        <v>39895.600000000006</v>
      </c>
      <c r="P762">
        <f t="shared" si="11"/>
        <v>-29919.080000000005</v>
      </c>
      <c r="Q762" s="3">
        <f>Table2[[#This Row],[Gross_Profit]]/Table2[[#This Row],[Sales_Amount]]</f>
        <v>-2.9989495335046694</v>
      </c>
      <c r="R762" t="str">
        <f>TEXT(Table2[[#This Row],[Sale_Date]],"mmmm")</f>
        <v>August</v>
      </c>
      <c r="S762" s="4">
        <f>YEAR(Table2[[#This Row],[Sale_Date]])</f>
        <v>2023</v>
      </c>
    </row>
    <row r="763" spans="1:19" x14ac:dyDescent="0.35">
      <c r="A763">
        <v>1028</v>
      </c>
      <c r="B763" s="1">
        <v>45150</v>
      </c>
      <c r="C763" t="s">
        <v>33</v>
      </c>
      <c r="D763" t="s">
        <v>25</v>
      </c>
      <c r="E763">
        <v>2490.8200000000002</v>
      </c>
      <c r="F763">
        <v>41</v>
      </c>
      <c r="G763" t="s">
        <v>29</v>
      </c>
      <c r="H763">
        <v>3956.03</v>
      </c>
      <c r="I763">
        <v>4163.68</v>
      </c>
      <c r="J763" t="s">
        <v>30</v>
      </c>
      <c r="K763">
        <v>0.12</v>
      </c>
      <c r="L763" t="s">
        <v>27</v>
      </c>
      <c r="M763" t="s">
        <v>22</v>
      </c>
      <c r="N763" t="s">
        <v>44</v>
      </c>
      <c r="O763">
        <f>Table2[[#This Row],[Unit_Cost]]*Table2[[#This Row],[Quantity_Sold]]</f>
        <v>162197.23000000001</v>
      </c>
      <c r="P763">
        <f t="shared" si="11"/>
        <v>-159706.41</v>
      </c>
      <c r="Q763" s="3">
        <f>Table2[[#This Row],[Gross_Profit]]/Table2[[#This Row],[Sales_Amount]]</f>
        <v>-64.118005315518587</v>
      </c>
      <c r="R763" t="str">
        <f>TEXT(Table2[[#This Row],[Sale_Date]],"mmmm")</f>
        <v>August</v>
      </c>
      <c r="S763" s="4">
        <f>YEAR(Table2[[#This Row],[Sale_Date]])</f>
        <v>2023</v>
      </c>
    </row>
    <row r="764" spans="1:19" x14ac:dyDescent="0.35">
      <c r="A764">
        <v>1092</v>
      </c>
      <c r="B764" s="1">
        <v>45245</v>
      </c>
      <c r="C764" t="s">
        <v>24</v>
      </c>
      <c r="D764" t="s">
        <v>34</v>
      </c>
      <c r="E764">
        <v>499.47</v>
      </c>
      <c r="F764">
        <v>47</v>
      </c>
      <c r="G764" t="s">
        <v>35</v>
      </c>
      <c r="H764">
        <v>3034.32</v>
      </c>
      <c r="I764">
        <v>3375.79</v>
      </c>
      <c r="J764" t="s">
        <v>30</v>
      </c>
      <c r="K764">
        <v>0.28000000000000003</v>
      </c>
      <c r="L764" t="s">
        <v>31</v>
      </c>
      <c r="M764" t="s">
        <v>19</v>
      </c>
      <c r="N764" t="s">
        <v>50</v>
      </c>
      <c r="O764">
        <f>Table2[[#This Row],[Unit_Cost]]*Table2[[#This Row],[Quantity_Sold]]</f>
        <v>142613.04</v>
      </c>
      <c r="P764">
        <f t="shared" si="11"/>
        <v>-142113.57</v>
      </c>
      <c r="Q764" s="3">
        <f>Table2[[#This Row],[Gross_Profit]]/Table2[[#This Row],[Sales_Amount]]</f>
        <v>-284.52874046489279</v>
      </c>
      <c r="R764" t="str">
        <f>TEXT(Table2[[#This Row],[Sale_Date]],"mmmm")</f>
        <v>November</v>
      </c>
      <c r="S764" s="4">
        <f>YEAR(Table2[[#This Row],[Sale_Date]])</f>
        <v>2023</v>
      </c>
    </row>
    <row r="765" spans="1:19" x14ac:dyDescent="0.35">
      <c r="A765">
        <v>1041</v>
      </c>
      <c r="B765" s="1">
        <v>44986</v>
      </c>
      <c r="C765" t="s">
        <v>33</v>
      </c>
      <c r="D765" t="s">
        <v>34</v>
      </c>
      <c r="E765">
        <v>4170.8</v>
      </c>
      <c r="F765">
        <v>44</v>
      </c>
      <c r="G765" t="s">
        <v>35</v>
      </c>
      <c r="H765">
        <v>3288.39</v>
      </c>
      <c r="I765">
        <v>3391.46</v>
      </c>
      <c r="J765" t="s">
        <v>30</v>
      </c>
      <c r="K765">
        <v>0.05</v>
      </c>
      <c r="L765" t="s">
        <v>31</v>
      </c>
      <c r="M765" t="s">
        <v>22</v>
      </c>
      <c r="N765" t="s">
        <v>36</v>
      </c>
      <c r="O765">
        <f>Table2[[#This Row],[Unit_Cost]]*Table2[[#This Row],[Quantity_Sold]]</f>
        <v>144689.16</v>
      </c>
      <c r="P765">
        <f t="shared" si="11"/>
        <v>-140518.36000000002</v>
      </c>
      <c r="Q765" s="3">
        <f>Table2[[#This Row],[Gross_Profit]]/Table2[[#This Row],[Sales_Amount]]</f>
        <v>-33.690984942936609</v>
      </c>
      <c r="R765" t="str">
        <f>TEXT(Table2[[#This Row],[Sale_Date]],"mmmm")</f>
        <v>March</v>
      </c>
      <c r="S765" s="4">
        <f>YEAR(Table2[[#This Row],[Sale_Date]])</f>
        <v>2023</v>
      </c>
    </row>
    <row r="766" spans="1:19" x14ac:dyDescent="0.35">
      <c r="A766">
        <v>1100</v>
      </c>
      <c r="B766" s="1">
        <v>45261</v>
      </c>
      <c r="C766" t="s">
        <v>42</v>
      </c>
      <c r="D766" t="s">
        <v>34</v>
      </c>
      <c r="E766">
        <v>1387.8</v>
      </c>
      <c r="F766">
        <v>34</v>
      </c>
      <c r="G766" t="s">
        <v>16</v>
      </c>
      <c r="H766">
        <v>4991.09</v>
      </c>
      <c r="I766">
        <v>5402.28</v>
      </c>
      <c r="J766" t="s">
        <v>17</v>
      </c>
      <c r="K766">
        <v>0</v>
      </c>
      <c r="L766" t="s">
        <v>18</v>
      </c>
      <c r="M766" t="s">
        <v>22</v>
      </c>
      <c r="N766" t="s">
        <v>52</v>
      </c>
      <c r="O766">
        <f>Table2[[#This Row],[Unit_Cost]]*Table2[[#This Row],[Quantity_Sold]]</f>
        <v>169697.06</v>
      </c>
      <c r="P766">
        <f t="shared" si="11"/>
        <v>-168309.26</v>
      </c>
      <c r="Q766" s="3">
        <f>Table2[[#This Row],[Gross_Profit]]/Table2[[#This Row],[Sales_Amount]]</f>
        <v>-121.27774895518087</v>
      </c>
      <c r="R766" t="str">
        <f>TEXT(Table2[[#This Row],[Sale_Date]],"mmmm")</f>
        <v>December</v>
      </c>
      <c r="S766" s="4">
        <f>YEAR(Table2[[#This Row],[Sale_Date]])</f>
        <v>2023</v>
      </c>
    </row>
    <row r="767" spans="1:19" x14ac:dyDescent="0.35">
      <c r="A767">
        <v>1064</v>
      </c>
      <c r="B767" s="1">
        <v>45148</v>
      </c>
      <c r="C767" t="s">
        <v>14</v>
      </c>
      <c r="D767" t="s">
        <v>25</v>
      </c>
      <c r="E767">
        <v>322.02</v>
      </c>
      <c r="F767">
        <v>5</v>
      </c>
      <c r="G767" t="s">
        <v>26</v>
      </c>
      <c r="H767">
        <v>421.05</v>
      </c>
      <c r="I767">
        <v>488.23</v>
      </c>
      <c r="J767" t="s">
        <v>17</v>
      </c>
      <c r="K767">
        <v>7.0000000000000007E-2</v>
      </c>
      <c r="L767" t="s">
        <v>31</v>
      </c>
      <c r="M767" t="s">
        <v>22</v>
      </c>
      <c r="N767" t="s">
        <v>32</v>
      </c>
      <c r="O767">
        <f>Table2[[#This Row],[Unit_Cost]]*Table2[[#This Row],[Quantity_Sold]]</f>
        <v>2105.25</v>
      </c>
      <c r="P767">
        <f t="shared" si="11"/>
        <v>-1783.23</v>
      </c>
      <c r="Q767" s="3">
        <f>Table2[[#This Row],[Gross_Profit]]/Table2[[#This Row],[Sales_Amount]]</f>
        <v>-5.5376374138252284</v>
      </c>
      <c r="R767" t="str">
        <f>TEXT(Table2[[#This Row],[Sale_Date]],"mmmm")</f>
        <v>August</v>
      </c>
      <c r="S767" s="4">
        <f>YEAR(Table2[[#This Row],[Sale_Date]])</f>
        <v>2023</v>
      </c>
    </row>
    <row r="768" spans="1:19" x14ac:dyDescent="0.35">
      <c r="A768">
        <v>1027</v>
      </c>
      <c r="B768" s="1">
        <v>44963</v>
      </c>
      <c r="C768" t="s">
        <v>38</v>
      </c>
      <c r="D768" t="s">
        <v>21</v>
      </c>
      <c r="E768">
        <v>3668.23</v>
      </c>
      <c r="F768">
        <v>45</v>
      </c>
      <c r="G768" t="s">
        <v>26</v>
      </c>
      <c r="H768">
        <v>1153.9000000000001</v>
      </c>
      <c r="I768">
        <v>1485.34</v>
      </c>
      <c r="J768" t="s">
        <v>30</v>
      </c>
      <c r="K768">
        <v>0.25</v>
      </c>
      <c r="L768" t="s">
        <v>31</v>
      </c>
      <c r="M768" t="s">
        <v>22</v>
      </c>
      <c r="N768" t="s">
        <v>41</v>
      </c>
      <c r="O768">
        <f>Table2[[#This Row],[Unit_Cost]]*Table2[[#This Row],[Quantity_Sold]]</f>
        <v>51925.500000000007</v>
      </c>
      <c r="P768">
        <f t="shared" si="11"/>
        <v>-48257.270000000004</v>
      </c>
      <c r="Q768" s="3">
        <f>Table2[[#This Row],[Gross_Profit]]/Table2[[#This Row],[Sales_Amount]]</f>
        <v>-13.155464624628229</v>
      </c>
      <c r="R768" t="str">
        <f>TEXT(Table2[[#This Row],[Sale_Date]],"mmmm")</f>
        <v>February</v>
      </c>
      <c r="S768" s="4">
        <f>YEAR(Table2[[#This Row],[Sale_Date]])</f>
        <v>2023</v>
      </c>
    </row>
    <row r="769" spans="1:19" x14ac:dyDescent="0.35">
      <c r="A769">
        <v>1063</v>
      </c>
      <c r="B769" s="1">
        <v>45204</v>
      </c>
      <c r="C769" t="s">
        <v>42</v>
      </c>
      <c r="D769" t="s">
        <v>25</v>
      </c>
      <c r="E769">
        <v>7859.01</v>
      </c>
      <c r="F769">
        <v>27</v>
      </c>
      <c r="G769" t="s">
        <v>26</v>
      </c>
      <c r="H769">
        <v>2069.08</v>
      </c>
      <c r="I769">
        <v>2246.2399999999998</v>
      </c>
      <c r="J769" t="s">
        <v>30</v>
      </c>
      <c r="K769">
        <v>0.06</v>
      </c>
      <c r="L769" t="s">
        <v>27</v>
      </c>
      <c r="M769" t="s">
        <v>22</v>
      </c>
      <c r="N769" t="s">
        <v>43</v>
      </c>
      <c r="O769">
        <f>Table2[[#This Row],[Unit_Cost]]*Table2[[#This Row],[Quantity_Sold]]</f>
        <v>55865.159999999996</v>
      </c>
      <c r="P769">
        <f t="shared" si="11"/>
        <v>-48006.149999999994</v>
      </c>
      <c r="Q769" s="3">
        <f>Table2[[#This Row],[Gross_Profit]]/Table2[[#This Row],[Sales_Amount]]</f>
        <v>-6.1084220531593667</v>
      </c>
      <c r="R769" t="str">
        <f>TEXT(Table2[[#This Row],[Sale_Date]],"mmmm")</f>
        <v>October</v>
      </c>
      <c r="S769" s="4">
        <f>YEAR(Table2[[#This Row],[Sale_Date]])</f>
        <v>2023</v>
      </c>
    </row>
    <row r="770" spans="1:19" x14ac:dyDescent="0.3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c r="O770">
        <f>Table2[[#This Row],[Unit_Cost]]*Table2[[#This Row],[Quantity_Sold]]</f>
        <v>40744.959999999999</v>
      </c>
      <c r="P770">
        <f t="shared" ref="P770:P833" si="12">E770-O770</f>
        <v>-35039.769999999997</v>
      </c>
      <c r="Q770" s="3">
        <f>Table2[[#This Row],[Gross_Profit]]/Table2[[#This Row],[Sales_Amount]]</f>
        <v>-6.141735858052054</v>
      </c>
      <c r="R770" t="str">
        <f>TEXT(Table2[[#This Row],[Sale_Date]],"mmmm")</f>
        <v>July</v>
      </c>
      <c r="S770" s="4">
        <f>YEAR(Table2[[#This Row],[Sale_Date]])</f>
        <v>2023</v>
      </c>
    </row>
    <row r="771" spans="1:19" x14ac:dyDescent="0.35">
      <c r="A771">
        <v>1073</v>
      </c>
      <c r="B771" s="1">
        <v>45278</v>
      </c>
      <c r="C771" t="s">
        <v>38</v>
      </c>
      <c r="D771" t="s">
        <v>21</v>
      </c>
      <c r="E771">
        <v>3196.5</v>
      </c>
      <c r="F771">
        <v>40</v>
      </c>
      <c r="G771" t="s">
        <v>26</v>
      </c>
      <c r="H771">
        <v>157.15</v>
      </c>
      <c r="I771">
        <v>436.53</v>
      </c>
      <c r="J771" t="s">
        <v>30</v>
      </c>
      <c r="K771">
        <v>0.04</v>
      </c>
      <c r="L771" t="s">
        <v>18</v>
      </c>
      <c r="M771" t="s">
        <v>22</v>
      </c>
      <c r="N771" t="s">
        <v>41</v>
      </c>
      <c r="O771">
        <f>Table2[[#This Row],[Unit_Cost]]*Table2[[#This Row],[Quantity_Sold]]</f>
        <v>6286</v>
      </c>
      <c r="P771">
        <f t="shared" si="12"/>
        <v>-3089.5</v>
      </c>
      <c r="Q771" s="3">
        <f>Table2[[#This Row],[Gross_Profit]]/Table2[[#This Row],[Sales_Amount]]</f>
        <v>-0.96652588768966052</v>
      </c>
      <c r="R771" t="str">
        <f>TEXT(Table2[[#This Row],[Sale_Date]],"mmmm")</f>
        <v>December</v>
      </c>
      <c r="S771" s="4">
        <f>YEAR(Table2[[#This Row],[Sale_Date]])</f>
        <v>2023</v>
      </c>
    </row>
    <row r="772" spans="1:19" x14ac:dyDescent="0.35">
      <c r="A772">
        <v>1033</v>
      </c>
      <c r="B772" s="1">
        <v>45168</v>
      </c>
      <c r="C772" t="s">
        <v>14</v>
      </c>
      <c r="D772" t="s">
        <v>34</v>
      </c>
      <c r="E772">
        <v>6577.99</v>
      </c>
      <c r="F772">
        <v>14</v>
      </c>
      <c r="G772" t="s">
        <v>26</v>
      </c>
      <c r="H772">
        <v>504.3</v>
      </c>
      <c r="I772">
        <v>735.95</v>
      </c>
      <c r="J772" t="s">
        <v>17</v>
      </c>
      <c r="K772">
        <v>0.21</v>
      </c>
      <c r="L772" t="s">
        <v>18</v>
      </c>
      <c r="M772" t="s">
        <v>22</v>
      </c>
      <c r="N772" t="s">
        <v>46</v>
      </c>
      <c r="O772">
        <f>Table2[[#This Row],[Unit_Cost]]*Table2[[#This Row],[Quantity_Sold]]</f>
        <v>7060.2</v>
      </c>
      <c r="P772">
        <f t="shared" si="12"/>
        <v>-482.21000000000004</v>
      </c>
      <c r="Q772" s="3">
        <f>Table2[[#This Row],[Gross_Profit]]/Table2[[#This Row],[Sales_Amount]]</f>
        <v>-7.3306587574623869E-2</v>
      </c>
      <c r="R772" t="str">
        <f>TEXT(Table2[[#This Row],[Sale_Date]],"mmmm")</f>
        <v>August</v>
      </c>
      <c r="S772" s="4">
        <f>YEAR(Table2[[#This Row],[Sale_Date]])</f>
        <v>2023</v>
      </c>
    </row>
    <row r="773" spans="1:19" x14ac:dyDescent="0.35">
      <c r="A773">
        <v>1084</v>
      </c>
      <c r="B773" s="1">
        <v>45250</v>
      </c>
      <c r="C773" t="s">
        <v>14</v>
      </c>
      <c r="D773" t="s">
        <v>25</v>
      </c>
      <c r="E773">
        <v>2396.98</v>
      </c>
      <c r="F773">
        <v>15</v>
      </c>
      <c r="G773" t="s">
        <v>16</v>
      </c>
      <c r="H773">
        <v>3420.72</v>
      </c>
      <c r="I773">
        <v>3513.74</v>
      </c>
      <c r="J773" t="s">
        <v>30</v>
      </c>
      <c r="K773">
        <v>0.02</v>
      </c>
      <c r="L773" t="s">
        <v>18</v>
      </c>
      <c r="M773" t="s">
        <v>19</v>
      </c>
      <c r="N773" t="s">
        <v>32</v>
      </c>
      <c r="O773">
        <f>Table2[[#This Row],[Unit_Cost]]*Table2[[#This Row],[Quantity_Sold]]</f>
        <v>51310.799999999996</v>
      </c>
      <c r="P773">
        <f t="shared" si="12"/>
        <v>-48913.819999999992</v>
      </c>
      <c r="Q773" s="3">
        <f>Table2[[#This Row],[Gross_Profit]]/Table2[[#This Row],[Sales_Amount]]</f>
        <v>-20.406436432510905</v>
      </c>
      <c r="R773" t="str">
        <f>TEXT(Table2[[#This Row],[Sale_Date]],"mmmm")</f>
        <v>November</v>
      </c>
      <c r="S773" s="4">
        <f>YEAR(Table2[[#This Row],[Sale_Date]])</f>
        <v>2023</v>
      </c>
    </row>
    <row r="774" spans="1:19" x14ac:dyDescent="0.35">
      <c r="A774">
        <v>1077</v>
      </c>
      <c r="B774" s="1">
        <v>45145</v>
      </c>
      <c r="C774" t="s">
        <v>33</v>
      </c>
      <c r="D774" t="s">
        <v>34</v>
      </c>
      <c r="E774">
        <v>242.38</v>
      </c>
      <c r="F774">
        <v>43</v>
      </c>
      <c r="G774" t="s">
        <v>26</v>
      </c>
      <c r="H774">
        <v>4402.66</v>
      </c>
      <c r="I774">
        <v>4724.7</v>
      </c>
      <c r="J774" t="s">
        <v>30</v>
      </c>
      <c r="K774">
        <v>0.1</v>
      </c>
      <c r="L774" t="s">
        <v>27</v>
      </c>
      <c r="M774" t="s">
        <v>22</v>
      </c>
      <c r="N774" t="s">
        <v>36</v>
      </c>
      <c r="O774">
        <f>Table2[[#This Row],[Unit_Cost]]*Table2[[#This Row],[Quantity_Sold]]</f>
        <v>189314.38</v>
      </c>
      <c r="P774">
        <f t="shared" si="12"/>
        <v>-189072</v>
      </c>
      <c r="Q774" s="3">
        <f>Table2[[#This Row],[Gross_Profit]]/Table2[[#This Row],[Sales_Amount]]</f>
        <v>-780.06436174601868</v>
      </c>
      <c r="R774" t="str">
        <f>TEXT(Table2[[#This Row],[Sale_Date]],"mmmm")</f>
        <v>August</v>
      </c>
      <c r="S774" s="4">
        <f>YEAR(Table2[[#This Row],[Sale_Date]])</f>
        <v>2023</v>
      </c>
    </row>
    <row r="775" spans="1:19" x14ac:dyDescent="0.35">
      <c r="A775">
        <v>1092</v>
      </c>
      <c r="B775" s="1">
        <v>45118</v>
      </c>
      <c r="C775" t="s">
        <v>38</v>
      </c>
      <c r="D775" t="s">
        <v>34</v>
      </c>
      <c r="E775">
        <v>7667.1</v>
      </c>
      <c r="F775">
        <v>33</v>
      </c>
      <c r="G775" t="s">
        <v>35</v>
      </c>
      <c r="H775">
        <v>2595.42</v>
      </c>
      <c r="I775">
        <v>3083.06</v>
      </c>
      <c r="J775" t="s">
        <v>30</v>
      </c>
      <c r="K775">
        <v>0.08</v>
      </c>
      <c r="L775" t="s">
        <v>31</v>
      </c>
      <c r="M775" t="s">
        <v>19</v>
      </c>
      <c r="N775" t="s">
        <v>48</v>
      </c>
      <c r="O775">
        <f>Table2[[#This Row],[Unit_Cost]]*Table2[[#This Row],[Quantity_Sold]]</f>
        <v>85648.86</v>
      </c>
      <c r="P775">
        <f t="shared" si="12"/>
        <v>-77981.759999999995</v>
      </c>
      <c r="Q775" s="3">
        <f>Table2[[#This Row],[Gross_Profit]]/Table2[[#This Row],[Sales_Amount]]</f>
        <v>-10.170959032750321</v>
      </c>
      <c r="R775" t="str">
        <f>TEXT(Table2[[#This Row],[Sale_Date]],"mmmm")</f>
        <v>July</v>
      </c>
      <c r="S775" s="4">
        <f>YEAR(Table2[[#This Row],[Sale_Date]])</f>
        <v>2023</v>
      </c>
    </row>
    <row r="776" spans="1:19" x14ac:dyDescent="0.35">
      <c r="A776">
        <v>1029</v>
      </c>
      <c r="B776" s="1">
        <v>44943</v>
      </c>
      <c r="C776" t="s">
        <v>33</v>
      </c>
      <c r="D776" t="s">
        <v>15</v>
      </c>
      <c r="E776">
        <v>6275.06</v>
      </c>
      <c r="F776">
        <v>31</v>
      </c>
      <c r="G776" t="s">
        <v>35</v>
      </c>
      <c r="H776">
        <v>2719</v>
      </c>
      <c r="I776">
        <v>3133.55</v>
      </c>
      <c r="J776" t="s">
        <v>17</v>
      </c>
      <c r="K776">
        <v>0.17</v>
      </c>
      <c r="L776" t="s">
        <v>27</v>
      </c>
      <c r="M776" t="s">
        <v>22</v>
      </c>
      <c r="N776" t="s">
        <v>53</v>
      </c>
      <c r="O776">
        <f>Table2[[#This Row],[Unit_Cost]]*Table2[[#This Row],[Quantity_Sold]]</f>
        <v>84289</v>
      </c>
      <c r="P776">
        <f t="shared" si="12"/>
        <v>-78013.94</v>
      </c>
      <c r="Q776" s="3">
        <f>Table2[[#This Row],[Gross_Profit]]/Table2[[#This Row],[Sales_Amount]]</f>
        <v>-12.432381523045198</v>
      </c>
      <c r="R776" t="str">
        <f>TEXT(Table2[[#This Row],[Sale_Date]],"mmmm")</f>
        <v>January</v>
      </c>
      <c r="S776" s="4">
        <f>YEAR(Table2[[#This Row],[Sale_Date]])</f>
        <v>2023</v>
      </c>
    </row>
    <row r="777" spans="1:19" x14ac:dyDescent="0.35">
      <c r="A777">
        <v>1013</v>
      </c>
      <c r="B777" s="1">
        <v>44938</v>
      </c>
      <c r="C777" t="s">
        <v>42</v>
      </c>
      <c r="D777" t="s">
        <v>21</v>
      </c>
      <c r="E777">
        <v>7646.8</v>
      </c>
      <c r="F777">
        <v>35</v>
      </c>
      <c r="G777" t="s">
        <v>35</v>
      </c>
      <c r="H777">
        <v>1312.71</v>
      </c>
      <c r="I777">
        <v>1352.11</v>
      </c>
      <c r="J777" t="s">
        <v>17</v>
      </c>
      <c r="K777">
        <v>0.22</v>
      </c>
      <c r="L777" t="s">
        <v>27</v>
      </c>
      <c r="M777" t="s">
        <v>22</v>
      </c>
      <c r="N777" t="s">
        <v>51</v>
      </c>
      <c r="O777">
        <f>Table2[[#This Row],[Unit_Cost]]*Table2[[#This Row],[Quantity_Sold]]</f>
        <v>45944.85</v>
      </c>
      <c r="P777">
        <f t="shared" si="12"/>
        <v>-38298.049999999996</v>
      </c>
      <c r="Q777" s="3">
        <f>Table2[[#This Row],[Gross_Profit]]/Table2[[#This Row],[Sales_Amount]]</f>
        <v>-5.0083760527279377</v>
      </c>
      <c r="R777" t="str">
        <f>TEXT(Table2[[#This Row],[Sale_Date]],"mmmm")</f>
        <v>January</v>
      </c>
      <c r="S777" s="4">
        <f>YEAR(Table2[[#This Row],[Sale_Date]])</f>
        <v>2023</v>
      </c>
    </row>
    <row r="778" spans="1:19" x14ac:dyDescent="0.35">
      <c r="A778">
        <v>1046</v>
      </c>
      <c r="B778" s="1">
        <v>45119</v>
      </c>
      <c r="C778" t="s">
        <v>38</v>
      </c>
      <c r="D778" t="s">
        <v>15</v>
      </c>
      <c r="E778">
        <v>485.49</v>
      </c>
      <c r="F778">
        <v>17</v>
      </c>
      <c r="G778" t="s">
        <v>16</v>
      </c>
      <c r="H778">
        <v>3850.99</v>
      </c>
      <c r="I778">
        <v>4045.3399999999901</v>
      </c>
      <c r="J778" t="s">
        <v>17</v>
      </c>
      <c r="K778">
        <v>0.16</v>
      </c>
      <c r="L778" t="s">
        <v>31</v>
      </c>
      <c r="M778" t="s">
        <v>19</v>
      </c>
      <c r="N778" t="s">
        <v>40</v>
      </c>
      <c r="O778">
        <f>Table2[[#This Row],[Unit_Cost]]*Table2[[#This Row],[Quantity_Sold]]</f>
        <v>65466.829999999994</v>
      </c>
      <c r="P778">
        <f t="shared" si="12"/>
        <v>-64981.34</v>
      </c>
      <c r="Q778" s="3">
        <f>Table2[[#This Row],[Gross_Profit]]/Table2[[#This Row],[Sales_Amount]]</f>
        <v>-133.84691754722033</v>
      </c>
      <c r="R778" t="str">
        <f>TEXT(Table2[[#This Row],[Sale_Date]],"mmmm")</f>
        <v>July</v>
      </c>
      <c r="S778" s="4">
        <f>YEAR(Table2[[#This Row],[Sale_Date]])</f>
        <v>2023</v>
      </c>
    </row>
    <row r="779" spans="1:19" x14ac:dyDescent="0.35">
      <c r="A779">
        <v>1035</v>
      </c>
      <c r="B779" s="1">
        <v>44948</v>
      </c>
      <c r="C779" t="s">
        <v>42</v>
      </c>
      <c r="D779" t="s">
        <v>15</v>
      </c>
      <c r="E779">
        <v>8387.48</v>
      </c>
      <c r="F779">
        <v>28</v>
      </c>
      <c r="G779" t="s">
        <v>16</v>
      </c>
      <c r="H779">
        <v>3771.38</v>
      </c>
      <c r="I779">
        <v>4234.92</v>
      </c>
      <c r="J779" t="s">
        <v>30</v>
      </c>
      <c r="K779">
        <v>0.28000000000000003</v>
      </c>
      <c r="L779" t="s">
        <v>31</v>
      </c>
      <c r="M779" t="s">
        <v>22</v>
      </c>
      <c r="N779" t="s">
        <v>49</v>
      </c>
      <c r="O779">
        <f>Table2[[#This Row],[Unit_Cost]]*Table2[[#This Row],[Quantity_Sold]]</f>
        <v>105598.64</v>
      </c>
      <c r="P779">
        <f t="shared" si="12"/>
        <v>-97211.16</v>
      </c>
      <c r="Q779" s="3">
        <f>Table2[[#This Row],[Gross_Profit]]/Table2[[#This Row],[Sales_Amount]]</f>
        <v>-11.590031809315791</v>
      </c>
      <c r="R779" t="str">
        <f>TEXT(Table2[[#This Row],[Sale_Date]],"mmmm")</f>
        <v>January</v>
      </c>
      <c r="S779" s="4">
        <f>YEAR(Table2[[#This Row],[Sale_Date]])</f>
        <v>2023</v>
      </c>
    </row>
    <row r="780" spans="1:19" x14ac:dyDescent="0.3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c r="O780">
        <f>Table2[[#This Row],[Unit_Cost]]*Table2[[#This Row],[Quantity_Sold]]</f>
        <v>56285.789999999994</v>
      </c>
      <c r="P780">
        <f t="shared" si="12"/>
        <v>-50052.479999999996</v>
      </c>
      <c r="Q780" s="3">
        <f>Table2[[#This Row],[Gross_Profit]]/Table2[[#This Row],[Sales_Amount]]</f>
        <v>-8.0298396838918631</v>
      </c>
      <c r="R780" t="str">
        <f>TEXT(Table2[[#This Row],[Sale_Date]],"mmmm")</f>
        <v>April</v>
      </c>
      <c r="S780" s="4">
        <f>YEAR(Table2[[#This Row],[Sale_Date]])</f>
        <v>2023</v>
      </c>
    </row>
    <row r="781" spans="1:19" x14ac:dyDescent="0.35">
      <c r="A781">
        <v>1082</v>
      </c>
      <c r="B781" s="1">
        <v>45136</v>
      </c>
      <c r="C781" t="s">
        <v>38</v>
      </c>
      <c r="D781" t="s">
        <v>34</v>
      </c>
      <c r="E781">
        <v>5677.61</v>
      </c>
      <c r="F781">
        <v>46</v>
      </c>
      <c r="G781" t="s">
        <v>26</v>
      </c>
      <c r="H781">
        <v>1102.69</v>
      </c>
      <c r="I781">
        <v>1437.12</v>
      </c>
      <c r="J781" t="s">
        <v>30</v>
      </c>
      <c r="K781">
        <v>0.11</v>
      </c>
      <c r="L781" t="s">
        <v>31</v>
      </c>
      <c r="M781" t="s">
        <v>19</v>
      </c>
      <c r="N781" t="s">
        <v>48</v>
      </c>
      <c r="O781">
        <f>Table2[[#This Row],[Unit_Cost]]*Table2[[#This Row],[Quantity_Sold]]</f>
        <v>50723.740000000005</v>
      </c>
      <c r="P781">
        <f t="shared" si="12"/>
        <v>-45046.130000000005</v>
      </c>
      <c r="Q781" s="3">
        <f>Table2[[#This Row],[Gross_Profit]]/Table2[[#This Row],[Sales_Amount]]</f>
        <v>-7.9339951141413385</v>
      </c>
      <c r="R781" t="str">
        <f>TEXT(Table2[[#This Row],[Sale_Date]],"mmmm")</f>
        <v>July</v>
      </c>
      <c r="S781" s="4">
        <f>YEAR(Table2[[#This Row],[Sale_Date]])</f>
        <v>2023</v>
      </c>
    </row>
    <row r="782" spans="1:19" x14ac:dyDescent="0.35">
      <c r="A782">
        <v>1069</v>
      </c>
      <c r="B782" s="1">
        <v>45232</v>
      </c>
      <c r="C782" t="s">
        <v>33</v>
      </c>
      <c r="D782" t="s">
        <v>15</v>
      </c>
      <c r="E782">
        <v>6283.68</v>
      </c>
      <c r="F782">
        <v>23</v>
      </c>
      <c r="G782" t="s">
        <v>16</v>
      </c>
      <c r="H782">
        <v>530.24</v>
      </c>
      <c r="I782">
        <v>987.41</v>
      </c>
      <c r="J782" t="s">
        <v>17</v>
      </c>
      <c r="K782">
        <v>0.23</v>
      </c>
      <c r="L782" t="s">
        <v>31</v>
      </c>
      <c r="M782" t="s">
        <v>19</v>
      </c>
      <c r="N782" t="s">
        <v>53</v>
      </c>
      <c r="O782">
        <f>Table2[[#This Row],[Unit_Cost]]*Table2[[#This Row],[Quantity_Sold]]</f>
        <v>12195.52</v>
      </c>
      <c r="P782">
        <f t="shared" si="12"/>
        <v>-5911.84</v>
      </c>
      <c r="Q782" s="3">
        <f>Table2[[#This Row],[Gross_Profit]]/Table2[[#This Row],[Sales_Amount]]</f>
        <v>-0.94082448501515037</v>
      </c>
      <c r="R782" t="str">
        <f>TEXT(Table2[[#This Row],[Sale_Date]],"mmmm")</f>
        <v>November</v>
      </c>
      <c r="S782" s="4">
        <f>YEAR(Table2[[#This Row],[Sale_Date]])</f>
        <v>2023</v>
      </c>
    </row>
    <row r="783" spans="1:19" x14ac:dyDescent="0.35">
      <c r="A783">
        <v>1047</v>
      </c>
      <c r="B783" s="1">
        <v>45196</v>
      </c>
      <c r="C783" t="s">
        <v>38</v>
      </c>
      <c r="D783" t="s">
        <v>15</v>
      </c>
      <c r="E783">
        <v>8657.89</v>
      </c>
      <c r="F783">
        <v>32</v>
      </c>
      <c r="G783" t="s">
        <v>35</v>
      </c>
      <c r="H783">
        <v>367.98</v>
      </c>
      <c r="I783">
        <v>806.14</v>
      </c>
      <c r="J783" t="s">
        <v>17</v>
      </c>
      <c r="K783">
        <v>0.22</v>
      </c>
      <c r="L783" t="s">
        <v>31</v>
      </c>
      <c r="M783" t="s">
        <v>22</v>
      </c>
      <c r="N783" t="s">
        <v>40</v>
      </c>
      <c r="O783">
        <f>Table2[[#This Row],[Unit_Cost]]*Table2[[#This Row],[Quantity_Sold]]</f>
        <v>11775.36</v>
      </c>
      <c r="P783">
        <f t="shared" si="12"/>
        <v>-3117.4700000000012</v>
      </c>
      <c r="Q783" s="3">
        <f>Table2[[#This Row],[Gross_Profit]]/Table2[[#This Row],[Sales_Amount]]</f>
        <v>-0.36007271979662497</v>
      </c>
      <c r="R783" t="str">
        <f>TEXT(Table2[[#This Row],[Sale_Date]],"mmmm")</f>
        <v>September</v>
      </c>
      <c r="S783" s="4">
        <f>YEAR(Table2[[#This Row],[Sale_Date]])</f>
        <v>2023</v>
      </c>
    </row>
    <row r="784" spans="1:19" x14ac:dyDescent="0.35">
      <c r="A784">
        <v>1025</v>
      </c>
      <c r="B784" s="1">
        <v>45118</v>
      </c>
      <c r="C784" t="s">
        <v>33</v>
      </c>
      <c r="D784" t="s">
        <v>21</v>
      </c>
      <c r="E784">
        <v>5910.67</v>
      </c>
      <c r="F784">
        <v>40</v>
      </c>
      <c r="G784" t="s">
        <v>35</v>
      </c>
      <c r="H784">
        <v>2983.85</v>
      </c>
      <c r="I784">
        <v>3239.74</v>
      </c>
      <c r="J784" t="s">
        <v>30</v>
      </c>
      <c r="K784">
        <v>0.27</v>
      </c>
      <c r="L784" t="s">
        <v>31</v>
      </c>
      <c r="M784" t="s">
        <v>19</v>
      </c>
      <c r="N784" t="s">
        <v>37</v>
      </c>
      <c r="O784">
        <f>Table2[[#This Row],[Unit_Cost]]*Table2[[#This Row],[Quantity_Sold]]</f>
        <v>119354</v>
      </c>
      <c r="P784">
        <f t="shared" si="12"/>
        <v>-113443.33</v>
      </c>
      <c r="Q784" s="3">
        <f>Table2[[#This Row],[Gross_Profit]]/Table2[[#This Row],[Sales_Amount]]</f>
        <v>-19.192973047048813</v>
      </c>
      <c r="R784" t="str">
        <f>TEXT(Table2[[#This Row],[Sale_Date]],"mmmm")</f>
        <v>July</v>
      </c>
      <c r="S784" s="4">
        <f>YEAR(Table2[[#This Row],[Sale_Date]])</f>
        <v>2023</v>
      </c>
    </row>
    <row r="785" spans="1:19" x14ac:dyDescent="0.35">
      <c r="A785">
        <v>1066</v>
      </c>
      <c r="B785" s="1">
        <v>45101</v>
      </c>
      <c r="C785" t="s">
        <v>14</v>
      </c>
      <c r="D785" t="s">
        <v>21</v>
      </c>
      <c r="E785">
        <v>5851.41</v>
      </c>
      <c r="F785">
        <v>13</v>
      </c>
      <c r="G785" t="s">
        <v>16</v>
      </c>
      <c r="H785">
        <v>4133.92</v>
      </c>
      <c r="I785">
        <v>4358.37</v>
      </c>
      <c r="J785" t="s">
        <v>30</v>
      </c>
      <c r="K785">
        <v>0.13</v>
      </c>
      <c r="L785" t="s">
        <v>18</v>
      </c>
      <c r="M785" t="s">
        <v>22</v>
      </c>
      <c r="N785" t="s">
        <v>23</v>
      </c>
      <c r="O785">
        <f>Table2[[#This Row],[Unit_Cost]]*Table2[[#This Row],[Quantity_Sold]]</f>
        <v>53740.959999999999</v>
      </c>
      <c r="P785">
        <f t="shared" si="12"/>
        <v>-47889.55</v>
      </c>
      <c r="Q785" s="3">
        <f>Table2[[#This Row],[Gross_Profit]]/Table2[[#This Row],[Sales_Amount]]</f>
        <v>-8.1842752430610748</v>
      </c>
      <c r="R785" t="str">
        <f>TEXT(Table2[[#This Row],[Sale_Date]],"mmmm")</f>
        <v>June</v>
      </c>
      <c r="S785" s="4">
        <f>YEAR(Table2[[#This Row],[Sale_Date]])</f>
        <v>2023</v>
      </c>
    </row>
    <row r="786" spans="1:19" x14ac:dyDescent="0.35">
      <c r="A786">
        <v>1010</v>
      </c>
      <c r="B786" s="1">
        <v>45211</v>
      </c>
      <c r="C786" t="s">
        <v>33</v>
      </c>
      <c r="D786" t="s">
        <v>15</v>
      </c>
      <c r="E786">
        <v>9907.7199999999993</v>
      </c>
      <c r="F786">
        <v>20</v>
      </c>
      <c r="G786" t="s">
        <v>16</v>
      </c>
      <c r="H786">
        <v>4298.74</v>
      </c>
      <c r="I786">
        <v>4475.1899999999996</v>
      </c>
      <c r="J786" t="s">
        <v>17</v>
      </c>
      <c r="K786">
        <v>0.16</v>
      </c>
      <c r="L786" t="s">
        <v>18</v>
      </c>
      <c r="M786" t="s">
        <v>19</v>
      </c>
      <c r="N786" t="s">
        <v>53</v>
      </c>
      <c r="O786">
        <f>Table2[[#This Row],[Unit_Cost]]*Table2[[#This Row],[Quantity_Sold]]</f>
        <v>85974.799999999988</v>
      </c>
      <c r="P786">
        <f t="shared" si="12"/>
        <v>-76067.079999999987</v>
      </c>
      <c r="Q786" s="3">
        <f>Table2[[#This Row],[Gross_Profit]]/Table2[[#This Row],[Sales_Amount]]</f>
        <v>-7.6775564913017318</v>
      </c>
      <c r="R786" t="str">
        <f>TEXT(Table2[[#This Row],[Sale_Date]],"mmmm")</f>
        <v>October</v>
      </c>
      <c r="S786" s="4">
        <f>YEAR(Table2[[#This Row],[Sale_Date]])</f>
        <v>2023</v>
      </c>
    </row>
    <row r="787" spans="1:19" x14ac:dyDescent="0.35">
      <c r="A787">
        <v>1056</v>
      </c>
      <c r="B787" s="1">
        <v>45130</v>
      </c>
      <c r="C787" t="s">
        <v>14</v>
      </c>
      <c r="D787" t="s">
        <v>21</v>
      </c>
      <c r="E787">
        <v>7591.63</v>
      </c>
      <c r="F787">
        <v>35</v>
      </c>
      <c r="G787" t="s">
        <v>16</v>
      </c>
      <c r="H787">
        <v>2344.9299999999998</v>
      </c>
      <c r="I787">
        <v>2707.25</v>
      </c>
      <c r="J787" t="s">
        <v>30</v>
      </c>
      <c r="K787">
        <v>0.12</v>
      </c>
      <c r="L787" t="s">
        <v>31</v>
      </c>
      <c r="M787" t="s">
        <v>22</v>
      </c>
      <c r="N787" t="s">
        <v>23</v>
      </c>
      <c r="O787">
        <f>Table2[[#This Row],[Unit_Cost]]*Table2[[#This Row],[Quantity_Sold]]</f>
        <v>82072.549999999988</v>
      </c>
      <c r="P787">
        <f t="shared" si="12"/>
        <v>-74480.919999999984</v>
      </c>
      <c r="Q787" s="3">
        <f>Table2[[#This Row],[Gross_Profit]]/Table2[[#This Row],[Sales_Amount]]</f>
        <v>-9.8109259803230646</v>
      </c>
      <c r="R787" t="str">
        <f>TEXT(Table2[[#This Row],[Sale_Date]],"mmmm")</f>
        <v>July</v>
      </c>
      <c r="S787" s="4">
        <f>YEAR(Table2[[#This Row],[Sale_Date]])</f>
        <v>2023</v>
      </c>
    </row>
    <row r="788" spans="1:19" x14ac:dyDescent="0.35">
      <c r="A788">
        <v>1030</v>
      </c>
      <c r="B788" s="1">
        <v>45090</v>
      </c>
      <c r="C788" t="s">
        <v>33</v>
      </c>
      <c r="D788" t="s">
        <v>21</v>
      </c>
      <c r="E788">
        <v>4478.71</v>
      </c>
      <c r="F788">
        <v>5</v>
      </c>
      <c r="G788" t="s">
        <v>29</v>
      </c>
      <c r="H788">
        <v>3932.14</v>
      </c>
      <c r="I788">
        <v>4082.7599999999902</v>
      </c>
      <c r="J788" t="s">
        <v>30</v>
      </c>
      <c r="K788">
        <v>0.26</v>
      </c>
      <c r="L788" t="s">
        <v>31</v>
      </c>
      <c r="M788" t="s">
        <v>19</v>
      </c>
      <c r="N788" t="s">
        <v>37</v>
      </c>
      <c r="O788">
        <f>Table2[[#This Row],[Unit_Cost]]*Table2[[#This Row],[Quantity_Sold]]</f>
        <v>19660.7</v>
      </c>
      <c r="P788">
        <f t="shared" si="12"/>
        <v>-15181.990000000002</v>
      </c>
      <c r="Q788" s="3">
        <f>Table2[[#This Row],[Gross_Profit]]/Table2[[#This Row],[Sales_Amount]]</f>
        <v>-3.389813138158086</v>
      </c>
      <c r="R788" t="str">
        <f>TEXT(Table2[[#This Row],[Sale_Date]],"mmmm")</f>
        <v>June</v>
      </c>
      <c r="S788" s="4">
        <f>YEAR(Table2[[#This Row],[Sale_Date]])</f>
        <v>2023</v>
      </c>
    </row>
    <row r="789" spans="1:19" x14ac:dyDescent="0.35">
      <c r="A789">
        <v>1005</v>
      </c>
      <c r="B789" s="1">
        <v>45177</v>
      </c>
      <c r="C789" t="s">
        <v>38</v>
      </c>
      <c r="D789" t="s">
        <v>15</v>
      </c>
      <c r="E789">
        <v>7103.23</v>
      </c>
      <c r="F789">
        <v>9</v>
      </c>
      <c r="G789" t="s">
        <v>35</v>
      </c>
      <c r="H789">
        <v>4737.0600000000004</v>
      </c>
      <c r="I789">
        <v>4869.5</v>
      </c>
      <c r="J789" t="s">
        <v>30</v>
      </c>
      <c r="K789">
        <v>7.0000000000000007E-2</v>
      </c>
      <c r="L789" t="s">
        <v>18</v>
      </c>
      <c r="M789" t="s">
        <v>19</v>
      </c>
      <c r="N789" t="s">
        <v>40</v>
      </c>
      <c r="O789">
        <f>Table2[[#This Row],[Unit_Cost]]*Table2[[#This Row],[Quantity_Sold]]</f>
        <v>42633.54</v>
      </c>
      <c r="P789">
        <f t="shared" si="12"/>
        <v>-35530.31</v>
      </c>
      <c r="Q789" s="3">
        <f>Table2[[#This Row],[Gross_Profit]]/Table2[[#This Row],[Sales_Amount]]</f>
        <v>-5.0019934593135797</v>
      </c>
      <c r="R789" t="str">
        <f>TEXT(Table2[[#This Row],[Sale_Date]],"mmmm")</f>
        <v>September</v>
      </c>
      <c r="S789" s="4">
        <f>YEAR(Table2[[#This Row],[Sale_Date]])</f>
        <v>2023</v>
      </c>
    </row>
    <row r="790" spans="1:19" x14ac:dyDescent="0.3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c r="O790">
        <f>Table2[[#This Row],[Unit_Cost]]*Table2[[#This Row],[Quantity_Sold]]</f>
        <v>40950.61</v>
      </c>
      <c r="P790">
        <f t="shared" si="12"/>
        <v>-36997.230000000003</v>
      </c>
      <c r="Q790" s="3">
        <f>Table2[[#This Row],[Gross_Profit]]/Table2[[#This Row],[Sales_Amount]]</f>
        <v>-9.3583794120474124</v>
      </c>
      <c r="R790" t="str">
        <f>TEXT(Table2[[#This Row],[Sale_Date]],"mmmm")</f>
        <v>August</v>
      </c>
      <c r="S790" s="4">
        <f>YEAR(Table2[[#This Row],[Sale_Date]])</f>
        <v>2023</v>
      </c>
    </row>
    <row r="791" spans="1:19" x14ac:dyDescent="0.35">
      <c r="A791">
        <v>1065</v>
      </c>
      <c r="B791" s="1">
        <v>44933</v>
      </c>
      <c r="C791" t="s">
        <v>38</v>
      </c>
      <c r="D791" t="s">
        <v>15</v>
      </c>
      <c r="E791">
        <v>2365.87</v>
      </c>
      <c r="F791">
        <v>6</v>
      </c>
      <c r="G791" t="s">
        <v>29</v>
      </c>
      <c r="H791">
        <v>2019.9</v>
      </c>
      <c r="I791">
        <v>2116.7399999999998</v>
      </c>
      <c r="J791" t="s">
        <v>30</v>
      </c>
      <c r="K791">
        <v>0.11</v>
      </c>
      <c r="L791" t="s">
        <v>31</v>
      </c>
      <c r="M791" t="s">
        <v>19</v>
      </c>
      <c r="N791" t="s">
        <v>40</v>
      </c>
      <c r="O791">
        <f>Table2[[#This Row],[Unit_Cost]]*Table2[[#This Row],[Quantity_Sold]]</f>
        <v>12119.400000000001</v>
      </c>
      <c r="P791">
        <f t="shared" si="12"/>
        <v>-9753.5300000000025</v>
      </c>
      <c r="Q791" s="3">
        <f>Table2[[#This Row],[Gross_Profit]]/Table2[[#This Row],[Sales_Amount]]</f>
        <v>-4.1225976068000367</v>
      </c>
      <c r="R791" t="str">
        <f>TEXT(Table2[[#This Row],[Sale_Date]],"mmmm")</f>
        <v>January</v>
      </c>
      <c r="S791" s="4">
        <f>YEAR(Table2[[#This Row],[Sale_Date]])</f>
        <v>2023</v>
      </c>
    </row>
    <row r="792" spans="1:19" x14ac:dyDescent="0.3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c r="O792">
        <f>Table2[[#This Row],[Unit_Cost]]*Table2[[#This Row],[Quantity_Sold]]</f>
        <v>116520.5</v>
      </c>
      <c r="P792">
        <f t="shared" si="12"/>
        <v>-110511.67</v>
      </c>
      <c r="Q792" s="3">
        <f>Table2[[#This Row],[Gross_Profit]]/Table2[[#This Row],[Sales_Amount]]</f>
        <v>-18.391545442290763</v>
      </c>
      <c r="R792" t="str">
        <f>TEXT(Table2[[#This Row],[Sale_Date]],"mmmm")</f>
        <v>January</v>
      </c>
      <c r="S792" s="4">
        <f>YEAR(Table2[[#This Row],[Sale_Date]])</f>
        <v>2023</v>
      </c>
    </row>
    <row r="793" spans="1:19" x14ac:dyDescent="0.35">
      <c r="A793">
        <v>1096</v>
      </c>
      <c r="B793" s="1">
        <v>44959</v>
      </c>
      <c r="C793" t="s">
        <v>42</v>
      </c>
      <c r="D793" t="s">
        <v>34</v>
      </c>
      <c r="E793">
        <v>9289</v>
      </c>
      <c r="F793">
        <v>31</v>
      </c>
      <c r="G793" t="s">
        <v>35</v>
      </c>
      <c r="H793">
        <v>1724.24</v>
      </c>
      <c r="I793">
        <v>2036.2</v>
      </c>
      <c r="J793" t="s">
        <v>30</v>
      </c>
      <c r="K793">
        <v>0.17</v>
      </c>
      <c r="L793" t="s">
        <v>18</v>
      </c>
      <c r="M793" t="s">
        <v>19</v>
      </c>
      <c r="N793" t="s">
        <v>52</v>
      </c>
      <c r="O793">
        <f>Table2[[#This Row],[Unit_Cost]]*Table2[[#This Row],[Quantity_Sold]]</f>
        <v>53451.44</v>
      </c>
      <c r="P793">
        <f t="shared" si="12"/>
        <v>-44162.44</v>
      </c>
      <c r="Q793" s="3">
        <f>Table2[[#This Row],[Gross_Profit]]/Table2[[#This Row],[Sales_Amount]]</f>
        <v>-4.7542727957799551</v>
      </c>
      <c r="R793" t="str">
        <f>TEXT(Table2[[#This Row],[Sale_Date]],"mmmm")</f>
        <v>February</v>
      </c>
      <c r="S793" s="4">
        <f>YEAR(Table2[[#This Row],[Sale_Date]])</f>
        <v>2023</v>
      </c>
    </row>
    <row r="794" spans="1:19" x14ac:dyDescent="0.35">
      <c r="A794">
        <v>1049</v>
      </c>
      <c r="B794" s="1">
        <v>45060</v>
      </c>
      <c r="C794" t="s">
        <v>38</v>
      </c>
      <c r="D794" t="s">
        <v>25</v>
      </c>
      <c r="E794">
        <v>9298.48</v>
      </c>
      <c r="F794">
        <v>22</v>
      </c>
      <c r="G794" t="s">
        <v>35</v>
      </c>
      <c r="H794">
        <v>4573.6899999999996</v>
      </c>
      <c r="I794">
        <v>4820.2999999999902</v>
      </c>
      <c r="J794" t="s">
        <v>30</v>
      </c>
      <c r="K794">
        <v>0.04</v>
      </c>
      <c r="L794" t="s">
        <v>18</v>
      </c>
      <c r="M794" t="s">
        <v>19</v>
      </c>
      <c r="N794" t="s">
        <v>39</v>
      </c>
      <c r="O794">
        <f>Table2[[#This Row],[Unit_Cost]]*Table2[[#This Row],[Quantity_Sold]]</f>
        <v>100621.18</v>
      </c>
      <c r="P794">
        <f t="shared" si="12"/>
        <v>-91322.7</v>
      </c>
      <c r="Q794" s="3">
        <f>Table2[[#This Row],[Gross_Profit]]/Table2[[#This Row],[Sales_Amount]]</f>
        <v>-9.8212503548967138</v>
      </c>
      <c r="R794" t="str">
        <f>TEXT(Table2[[#This Row],[Sale_Date]],"mmmm")</f>
        <v>May</v>
      </c>
      <c r="S794" s="4">
        <f>YEAR(Table2[[#This Row],[Sale_Date]])</f>
        <v>2023</v>
      </c>
    </row>
    <row r="795" spans="1:19" x14ac:dyDescent="0.35">
      <c r="A795">
        <v>1011</v>
      </c>
      <c r="B795" s="1">
        <v>45005</v>
      </c>
      <c r="C795" t="s">
        <v>14</v>
      </c>
      <c r="D795" t="s">
        <v>34</v>
      </c>
      <c r="E795">
        <v>3484.86</v>
      </c>
      <c r="F795">
        <v>2</v>
      </c>
      <c r="G795" t="s">
        <v>16</v>
      </c>
      <c r="H795">
        <v>4906.17</v>
      </c>
      <c r="I795">
        <v>5107.43</v>
      </c>
      <c r="J795" t="s">
        <v>17</v>
      </c>
      <c r="K795">
        <v>0.1</v>
      </c>
      <c r="L795" t="s">
        <v>18</v>
      </c>
      <c r="M795" t="s">
        <v>19</v>
      </c>
      <c r="N795" t="s">
        <v>46</v>
      </c>
      <c r="O795">
        <f>Table2[[#This Row],[Unit_Cost]]*Table2[[#This Row],[Quantity_Sold]]</f>
        <v>9812.34</v>
      </c>
      <c r="P795">
        <f t="shared" si="12"/>
        <v>-6327.48</v>
      </c>
      <c r="Q795" s="3">
        <f>Table2[[#This Row],[Gross_Profit]]/Table2[[#This Row],[Sales_Amount]]</f>
        <v>-1.8157056524508874</v>
      </c>
      <c r="R795" t="str">
        <f>TEXT(Table2[[#This Row],[Sale_Date]],"mmmm")</f>
        <v>March</v>
      </c>
      <c r="S795" s="4">
        <f>YEAR(Table2[[#This Row],[Sale_Date]])</f>
        <v>2023</v>
      </c>
    </row>
    <row r="796" spans="1:19" x14ac:dyDescent="0.35">
      <c r="A796">
        <v>1085</v>
      </c>
      <c r="B796" s="1">
        <v>44984</v>
      </c>
      <c r="C796" t="s">
        <v>38</v>
      </c>
      <c r="D796" t="s">
        <v>21</v>
      </c>
      <c r="E796">
        <v>5324.01</v>
      </c>
      <c r="F796">
        <v>45</v>
      </c>
      <c r="G796" t="s">
        <v>16</v>
      </c>
      <c r="H796">
        <v>3325.96</v>
      </c>
      <c r="I796">
        <v>3781.4</v>
      </c>
      <c r="J796" t="s">
        <v>17</v>
      </c>
      <c r="K796">
        <v>0.27</v>
      </c>
      <c r="L796" t="s">
        <v>31</v>
      </c>
      <c r="M796" t="s">
        <v>19</v>
      </c>
      <c r="N796" t="s">
        <v>41</v>
      </c>
      <c r="O796">
        <f>Table2[[#This Row],[Unit_Cost]]*Table2[[#This Row],[Quantity_Sold]]</f>
        <v>149668.20000000001</v>
      </c>
      <c r="P796">
        <f t="shared" si="12"/>
        <v>-144344.19</v>
      </c>
      <c r="Q796" s="3">
        <f>Table2[[#This Row],[Gross_Profit]]/Table2[[#This Row],[Sales_Amount]]</f>
        <v>-27.111930668800397</v>
      </c>
      <c r="R796" t="str">
        <f>TEXT(Table2[[#This Row],[Sale_Date]],"mmmm")</f>
        <v>February</v>
      </c>
      <c r="S796" s="4">
        <f>YEAR(Table2[[#This Row],[Sale_Date]])</f>
        <v>2023</v>
      </c>
    </row>
    <row r="797" spans="1:19" x14ac:dyDescent="0.35">
      <c r="A797">
        <v>1026</v>
      </c>
      <c r="B797" s="1">
        <v>44952</v>
      </c>
      <c r="C797" t="s">
        <v>24</v>
      </c>
      <c r="D797" t="s">
        <v>34</v>
      </c>
      <c r="E797">
        <v>2195.1999999999998</v>
      </c>
      <c r="F797">
        <v>5</v>
      </c>
      <c r="G797" t="s">
        <v>26</v>
      </c>
      <c r="H797">
        <v>4093.61</v>
      </c>
      <c r="I797">
        <v>4117.88</v>
      </c>
      <c r="J797" t="s">
        <v>17</v>
      </c>
      <c r="K797">
        <v>0.12</v>
      </c>
      <c r="L797" t="s">
        <v>31</v>
      </c>
      <c r="M797" t="s">
        <v>22</v>
      </c>
      <c r="N797" t="s">
        <v>50</v>
      </c>
      <c r="O797">
        <f>Table2[[#This Row],[Unit_Cost]]*Table2[[#This Row],[Quantity_Sold]]</f>
        <v>20468.05</v>
      </c>
      <c r="P797">
        <f t="shared" si="12"/>
        <v>-18272.849999999999</v>
      </c>
      <c r="Q797" s="3">
        <f>Table2[[#This Row],[Gross_Profit]]/Table2[[#This Row],[Sales_Amount]]</f>
        <v>-8.3240023688046652</v>
      </c>
      <c r="R797" t="str">
        <f>TEXT(Table2[[#This Row],[Sale_Date]],"mmmm")</f>
        <v>January</v>
      </c>
      <c r="S797" s="4">
        <f>YEAR(Table2[[#This Row],[Sale_Date]])</f>
        <v>2023</v>
      </c>
    </row>
    <row r="798" spans="1:19" x14ac:dyDescent="0.35">
      <c r="A798">
        <v>1063</v>
      </c>
      <c r="B798" s="1">
        <v>45152</v>
      </c>
      <c r="C798" t="s">
        <v>14</v>
      </c>
      <c r="D798" t="s">
        <v>15</v>
      </c>
      <c r="E798">
        <v>9956.75</v>
      </c>
      <c r="F798">
        <v>27</v>
      </c>
      <c r="G798" t="s">
        <v>29</v>
      </c>
      <c r="H798">
        <v>3760.25</v>
      </c>
      <c r="I798">
        <v>4147.1099999999997</v>
      </c>
      <c r="J798" t="s">
        <v>30</v>
      </c>
      <c r="K798">
        <v>0.22</v>
      </c>
      <c r="L798" t="s">
        <v>18</v>
      </c>
      <c r="M798" t="s">
        <v>19</v>
      </c>
      <c r="N798" t="s">
        <v>20</v>
      </c>
      <c r="O798">
        <f>Table2[[#This Row],[Unit_Cost]]*Table2[[#This Row],[Quantity_Sold]]</f>
        <v>101526.75</v>
      </c>
      <c r="P798">
        <f t="shared" si="12"/>
        <v>-91570</v>
      </c>
      <c r="Q798" s="3">
        <f>Table2[[#This Row],[Gross_Profit]]/Table2[[#This Row],[Sales_Amount]]</f>
        <v>-9.1967760564441203</v>
      </c>
      <c r="R798" t="str">
        <f>TEXT(Table2[[#This Row],[Sale_Date]],"mmmm")</f>
        <v>August</v>
      </c>
      <c r="S798" s="4">
        <f>YEAR(Table2[[#This Row],[Sale_Date]])</f>
        <v>2023</v>
      </c>
    </row>
    <row r="799" spans="1:19" x14ac:dyDescent="0.35">
      <c r="A799">
        <v>1089</v>
      </c>
      <c r="B799" s="1">
        <v>45211</v>
      </c>
      <c r="C799" t="s">
        <v>24</v>
      </c>
      <c r="D799" t="s">
        <v>25</v>
      </c>
      <c r="E799">
        <v>9813.07</v>
      </c>
      <c r="F799">
        <v>25</v>
      </c>
      <c r="G799" t="s">
        <v>16</v>
      </c>
      <c r="H799">
        <v>3512.69</v>
      </c>
      <c r="I799">
        <v>3964.63</v>
      </c>
      <c r="J799" t="s">
        <v>17</v>
      </c>
      <c r="K799">
        <v>0.03</v>
      </c>
      <c r="L799" t="s">
        <v>31</v>
      </c>
      <c r="M799" t="s">
        <v>22</v>
      </c>
      <c r="N799" t="s">
        <v>28</v>
      </c>
      <c r="O799">
        <f>Table2[[#This Row],[Unit_Cost]]*Table2[[#This Row],[Quantity_Sold]]</f>
        <v>87817.25</v>
      </c>
      <c r="P799">
        <f t="shared" si="12"/>
        <v>-78004.179999999993</v>
      </c>
      <c r="Q799" s="3">
        <f>Table2[[#This Row],[Gross_Profit]]/Table2[[#This Row],[Sales_Amount]]</f>
        <v>-7.949008821907924</v>
      </c>
      <c r="R799" t="str">
        <f>TEXT(Table2[[#This Row],[Sale_Date]],"mmmm")</f>
        <v>October</v>
      </c>
      <c r="S799" s="4">
        <f>YEAR(Table2[[#This Row],[Sale_Date]])</f>
        <v>2023</v>
      </c>
    </row>
    <row r="800" spans="1:19" x14ac:dyDescent="0.35">
      <c r="A800">
        <v>1086</v>
      </c>
      <c r="B800" s="1">
        <v>44930</v>
      </c>
      <c r="C800" t="s">
        <v>14</v>
      </c>
      <c r="D800" t="s">
        <v>25</v>
      </c>
      <c r="E800">
        <v>6530.14</v>
      </c>
      <c r="F800">
        <v>8</v>
      </c>
      <c r="G800" t="s">
        <v>16</v>
      </c>
      <c r="H800">
        <v>1569.31</v>
      </c>
      <c r="I800">
        <v>1798.02</v>
      </c>
      <c r="J800" t="s">
        <v>30</v>
      </c>
      <c r="K800">
        <v>7.0000000000000007E-2</v>
      </c>
      <c r="L800" t="s">
        <v>31</v>
      </c>
      <c r="M800" t="s">
        <v>19</v>
      </c>
      <c r="N800" t="s">
        <v>32</v>
      </c>
      <c r="O800">
        <f>Table2[[#This Row],[Unit_Cost]]*Table2[[#This Row],[Quantity_Sold]]</f>
        <v>12554.48</v>
      </c>
      <c r="P800">
        <f t="shared" si="12"/>
        <v>-6024.3399999999992</v>
      </c>
      <c r="Q800" s="3">
        <f>Table2[[#This Row],[Gross_Profit]]/Table2[[#This Row],[Sales_Amount]]</f>
        <v>-0.92254377394665332</v>
      </c>
      <c r="R800" t="str">
        <f>TEXT(Table2[[#This Row],[Sale_Date]],"mmmm")</f>
        <v>January</v>
      </c>
      <c r="S800" s="4">
        <f>YEAR(Table2[[#This Row],[Sale_Date]])</f>
        <v>2023</v>
      </c>
    </row>
    <row r="801" spans="1:19" x14ac:dyDescent="0.35">
      <c r="A801">
        <v>1059</v>
      </c>
      <c r="B801" s="1">
        <v>45025</v>
      </c>
      <c r="C801" t="s">
        <v>33</v>
      </c>
      <c r="D801" t="s">
        <v>25</v>
      </c>
      <c r="E801">
        <v>8063.7</v>
      </c>
      <c r="F801">
        <v>1</v>
      </c>
      <c r="G801" t="s">
        <v>35</v>
      </c>
      <c r="H801">
        <v>332.62</v>
      </c>
      <c r="I801">
        <v>612.46</v>
      </c>
      <c r="J801" t="s">
        <v>17</v>
      </c>
      <c r="K801">
        <v>0.24</v>
      </c>
      <c r="L801" t="s">
        <v>18</v>
      </c>
      <c r="M801" t="s">
        <v>22</v>
      </c>
      <c r="N801" t="s">
        <v>44</v>
      </c>
      <c r="O801">
        <f>Table2[[#This Row],[Unit_Cost]]*Table2[[#This Row],[Quantity_Sold]]</f>
        <v>332.62</v>
      </c>
      <c r="P801">
        <f t="shared" si="12"/>
        <v>7731.08</v>
      </c>
      <c r="Q801" s="3">
        <f>Table2[[#This Row],[Gross_Profit]]/Table2[[#This Row],[Sales_Amount]]</f>
        <v>0.95875094559569429</v>
      </c>
      <c r="R801" t="str">
        <f>TEXT(Table2[[#This Row],[Sale_Date]],"mmmm")</f>
        <v>April</v>
      </c>
      <c r="S801" s="4">
        <f>YEAR(Table2[[#This Row],[Sale_Date]])</f>
        <v>2023</v>
      </c>
    </row>
    <row r="802" spans="1:19" x14ac:dyDescent="0.35">
      <c r="A802">
        <v>1027</v>
      </c>
      <c r="B802" s="1">
        <v>44965</v>
      </c>
      <c r="C802" t="s">
        <v>42</v>
      </c>
      <c r="D802" t="s">
        <v>21</v>
      </c>
      <c r="E802">
        <v>7179.49</v>
      </c>
      <c r="F802">
        <v>20</v>
      </c>
      <c r="G802" t="s">
        <v>35</v>
      </c>
      <c r="H802">
        <v>1748.11</v>
      </c>
      <c r="I802">
        <v>2220.9</v>
      </c>
      <c r="J802" t="s">
        <v>30</v>
      </c>
      <c r="K802">
        <v>0.23</v>
      </c>
      <c r="L802" t="s">
        <v>31</v>
      </c>
      <c r="M802" t="s">
        <v>22</v>
      </c>
      <c r="N802" t="s">
        <v>51</v>
      </c>
      <c r="O802">
        <f>Table2[[#This Row],[Unit_Cost]]*Table2[[#This Row],[Quantity_Sold]]</f>
        <v>34962.199999999997</v>
      </c>
      <c r="P802">
        <f t="shared" si="12"/>
        <v>-27782.71</v>
      </c>
      <c r="Q802" s="3">
        <f>Table2[[#This Row],[Gross_Profit]]/Table2[[#This Row],[Sales_Amount]]</f>
        <v>-3.869733086890573</v>
      </c>
      <c r="R802" t="str">
        <f>TEXT(Table2[[#This Row],[Sale_Date]],"mmmm")</f>
        <v>February</v>
      </c>
      <c r="S802" s="4">
        <f>YEAR(Table2[[#This Row],[Sale_Date]])</f>
        <v>2023</v>
      </c>
    </row>
    <row r="803" spans="1:19" x14ac:dyDescent="0.35">
      <c r="A803">
        <v>1049</v>
      </c>
      <c r="B803" s="1">
        <v>45197</v>
      </c>
      <c r="C803" t="s">
        <v>42</v>
      </c>
      <c r="D803" t="s">
        <v>21</v>
      </c>
      <c r="E803">
        <v>5972.27</v>
      </c>
      <c r="F803">
        <v>44</v>
      </c>
      <c r="G803" t="s">
        <v>16</v>
      </c>
      <c r="H803">
        <v>3351.33</v>
      </c>
      <c r="I803">
        <v>3465.35</v>
      </c>
      <c r="J803" t="s">
        <v>17</v>
      </c>
      <c r="K803">
        <v>0.12</v>
      </c>
      <c r="L803" t="s">
        <v>27</v>
      </c>
      <c r="M803" t="s">
        <v>19</v>
      </c>
      <c r="N803" t="s">
        <v>51</v>
      </c>
      <c r="O803">
        <f>Table2[[#This Row],[Unit_Cost]]*Table2[[#This Row],[Quantity_Sold]]</f>
        <v>147458.51999999999</v>
      </c>
      <c r="P803">
        <f t="shared" si="12"/>
        <v>-141486.25</v>
      </c>
      <c r="Q803" s="3">
        <f>Table2[[#This Row],[Gross_Profit]]/Table2[[#This Row],[Sales_Amount]]</f>
        <v>-23.690531405981307</v>
      </c>
      <c r="R803" t="str">
        <f>TEXT(Table2[[#This Row],[Sale_Date]],"mmmm")</f>
        <v>September</v>
      </c>
      <c r="S803" s="4">
        <f>YEAR(Table2[[#This Row],[Sale_Date]])</f>
        <v>2023</v>
      </c>
    </row>
    <row r="804" spans="1:19" x14ac:dyDescent="0.35">
      <c r="A804">
        <v>1077</v>
      </c>
      <c r="B804" s="1">
        <v>45211</v>
      </c>
      <c r="C804" t="s">
        <v>24</v>
      </c>
      <c r="D804" t="s">
        <v>25</v>
      </c>
      <c r="E804">
        <v>628.15</v>
      </c>
      <c r="F804">
        <v>23</v>
      </c>
      <c r="G804" t="s">
        <v>35</v>
      </c>
      <c r="H804">
        <v>557.52</v>
      </c>
      <c r="I804">
        <v>822.39</v>
      </c>
      <c r="J804" t="s">
        <v>17</v>
      </c>
      <c r="K804">
        <v>0.28999999999999998</v>
      </c>
      <c r="L804" t="s">
        <v>31</v>
      </c>
      <c r="M804" t="s">
        <v>19</v>
      </c>
      <c r="N804" t="s">
        <v>28</v>
      </c>
      <c r="O804">
        <f>Table2[[#This Row],[Unit_Cost]]*Table2[[#This Row],[Quantity_Sold]]</f>
        <v>12822.96</v>
      </c>
      <c r="P804">
        <f t="shared" si="12"/>
        <v>-12194.81</v>
      </c>
      <c r="Q804" s="3">
        <f>Table2[[#This Row],[Gross_Profit]]/Table2[[#This Row],[Sales_Amount]]</f>
        <v>-19.413850195017115</v>
      </c>
      <c r="R804" t="str">
        <f>TEXT(Table2[[#This Row],[Sale_Date]],"mmmm")</f>
        <v>October</v>
      </c>
      <c r="S804" s="4">
        <f>YEAR(Table2[[#This Row],[Sale_Date]])</f>
        <v>2023</v>
      </c>
    </row>
    <row r="805" spans="1:19" x14ac:dyDescent="0.35">
      <c r="A805">
        <v>1033</v>
      </c>
      <c r="B805" s="1">
        <v>45083</v>
      </c>
      <c r="C805" t="s">
        <v>42</v>
      </c>
      <c r="D805" t="s">
        <v>34</v>
      </c>
      <c r="E805">
        <v>4602.17</v>
      </c>
      <c r="F805">
        <v>32</v>
      </c>
      <c r="G805" t="s">
        <v>26</v>
      </c>
      <c r="H805">
        <v>108.99</v>
      </c>
      <c r="I805">
        <v>351.6</v>
      </c>
      <c r="J805" t="s">
        <v>17</v>
      </c>
      <c r="K805">
        <v>0.27</v>
      </c>
      <c r="L805" t="s">
        <v>31</v>
      </c>
      <c r="M805" t="s">
        <v>22</v>
      </c>
      <c r="N805" t="s">
        <v>52</v>
      </c>
      <c r="O805">
        <f>Table2[[#This Row],[Unit_Cost]]*Table2[[#This Row],[Quantity_Sold]]</f>
        <v>3487.68</v>
      </c>
      <c r="P805">
        <f t="shared" si="12"/>
        <v>1114.4900000000002</v>
      </c>
      <c r="Q805" s="3">
        <f>Table2[[#This Row],[Gross_Profit]]/Table2[[#This Row],[Sales_Amount]]</f>
        <v>0.24216619551211715</v>
      </c>
      <c r="R805" t="str">
        <f>TEXT(Table2[[#This Row],[Sale_Date]],"mmmm")</f>
        <v>June</v>
      </c>
      <c r="S805" s="4">
        <f>YEAR(Table2[[#This Row],[Sale_Date]])</f>
        <v>2023</v>
      </c>
    </row>
    <row r="806" spans="1:19" x14ac:dyDescent="0.35">
      <c r="A806">
        <v>1098</v>
      </c>
      <c r="B806" s="1">
        <v>45001</v>
      </c>
      <c r="C806" t="s">
        <v>24</v>
      </c>
      <c r="D806" t="s">
        <v>25</v>
      </c>
      <c r="E806">
        <v>6780.38</v>
      </c>
      <c r="F806">
        <v>11</v>
      </c>
      <c r="G806" t="s">
        <v>16</v>
      </c>
      <c r="H806">
        <v>741.48</v>
      </c>
      <c r="I806">
        <v>878.09</v>
      </c>
      <c r="J806" t="s">
        <v>30</v>
      </c>
      <c r="K806">
        <v>0.28999999999999998</v>
      </c>
      <c r="L806" t="s">
        <v>18</v>
      </c>
      <c r="M806" t="s">
        <v>22</v>
      </c>
      <c r="N806" t="s">
        <v>28</v>
      </c>
      <c r="O806">
        <f>Table2[[#This Row],[Unit_Cost]]*Table2[[#This Row],[Quantity_Sold]]</f>
        <v>8156.2800000000007</v>
      </c>
      <c r="P806">
        <f t="shared" si="12"/>
        <v>-1375.9000000000005</v>
      </c>
      <c r="Q806" s="3">
        <f>Table2[[#This Row],[Gross_Profit]]/Table2[[#This Row],[Sales_Amount]]</f>
        <v>-0.2029237299384401</v>
      </c>
      <c r="R806" t="str">
        <f>TEXT(Table2[[#This Row],[Sale_Date]],"mmmm")</f>
        <v>March</v>
      </c>
      <c r="S806" s="4">
        <f>YEAR(Table2[[#This Row],[Sale_Date]])</f>
        <v>2023</v>
      </c>
    </row>
    <row r="807" spans="1:19" x14ac:dyDescent="0.35">
      <c r="A807">
        <v>1099</v>
      </c>
      <c r="B807" s="1">
        <v>45214</v>
      </c>
      <c r="C807" t="s">
        <v>24</v>
      </c>
      <c r="D807" t="s">
        <v>34</v>
      </c>
      <c r="E807">
        <v>6807.56</v>
      </c>
      <c r="F807">
        <v>39</v>
      </c>
      <c r="G807" t="s">
        <v>35</v>
      </c>
      <c r="H807">
        <v>3592.89</v>
      </c>
      <c r="I807">
        <v>4004</v>
      </c>
      <c r="J807" t="s">
        <v>30</v>
      </c>
      <c r="K807">
        <v>0.13</v>
      </c>
      <c r="L807" t="s">
        <v>18</v>
      </c>
      <c r="M807" t="s">
        <v>19</v>
      </c>
      <c r="N807" t="s">
        <v>50</v>
      </c>
      <c r="O807">
        <f>Table2[[#This Row],[Unit_Cost]]*Table2[[#This Row],[Quantity_Sold]]</f>
        <v>140122.71</v>
      </c>
      <c r="P807">
        <f t="shared" si="12"/>
        <v>-133315.15</v>
      </c>
      <c r="Q807" s="3">
        <f>Table2[[#This Row],[Gross_Profit]]/Table2[[#This Row],[Sales_Amount]]</f>
        <v>-19.583396988054457</v>
      </c>
      <c r="R807" t="str">
        <f>TEXT(Table2[[#This Row],[Sale_Date]],"mmmm")</f>
        <v>October</v>
      </c>
      <c r="S807" s="4">
        <f>YEAR(Table2[[#This Row],[Sale_Date]])</f>
        <v>2023</v>
      </c>
    </row>
    <row r="808" spans="1:19" x14ac:dyDescent="0.35">
      <c r="A808">
        <v>1001</v>
      </c>
      <c r="B808" s="1">
        <v>45056</v>
      </c>
      <c r="C808" t="s">
        <v>24</v>
      </c>
      <c r="D808" t="s">
        <v>34</v>
      </c>
      <c r="E808">
        <v>3793.91</v>
      </c>
      <c r="F808">
        <v>47</v>
      </c>
      <c r="G808" t="s">
        <v>26</v>
      </c>
      <c r="H808">
        <v>4865.33</v>
      </c>
      <c r="I808">
        <v>5316.13</v>
      </c>
      <c r="J808" t="s">
        <v>30</v>
      </c>
      <c r="K808">
        <v>0.06</v>
      </c>
      <c r="L808" t="s">
        <v>27</v>
      </c>
      <c r="M808" t="s">
        <v>19</v>
      </c>
      <c r="N808" t="s">
        <v>50</v>
      </c>
      <c r="O808">
        <f>Table2[[#This Row],[Unit_Cost]]*Table2[[#This Row],[Quantity_Sold]]</f>
        <v>228670.51</v>
      </c>
      <c r="P808">
        <f t="shared" si="12"/>
        <v>-224876.6</v>
      </c>
      <c r="Q808" s="3">
        <f>Table2[[#This Row],[Gross_Profit]]/Table2[[#This Row],[Sales_Amount]]</f>
        <v>-59.273045486055288</v>
      </c>
      <c r="R808" t="str">
        <f>TEXT(Table2[[#This Row],[Sale_Date]],"mmmm")</f>
        <v>May</v>
      </c>
      <c r="S808" s="4">
        <f>YEAR(Table2[[#This Row],[Sale_Date]])</f>
        <v>2023</v>
      </c>
    </row>
    <row r="809" spans="1:19" x14ac:dyDescent="0.35">
      <c r="A809">
        <v>1021</v>
      </c>
      <c r="B809" s="1">
        <v>45101</v>
      </c>
      <c r="C809" t="s">
        <v>42</v>
      </c>
      <c r="D809" t="s">
        <v>21</v>
      </c>
      <c r="E809">
        <v>9422.75</v>
      </c>
      <c r="F809">
        <v>24</v>
      </c>
      <c r="G809" t="s">
        <v>35</v>
      </c>
      <c r="H809">
        <v>4916.17</v>
      </c>
      <c r="I809">
        <v>5309.32</v>
      </c>
      <c r="J809" t="s">
        <v>17</v>
      </c>
      <c r="K809">
        <v>0.19</v>
      </c>
      <c r="L809" t="s">
        <v>31</v>
      </c>
      <c r="M809" t="s">
        <v>19</v>
      </c>
      <c r="N809" t="s">
        <v>51</v>
      </c>
      <c r="O809">
        <f>Table2[[#This Row],[Unit_Cost]]*Table2[[#This Row],[Quantity_Sold]]</f>
        <v>117988.08</v>
      </c>
      <c r="P809">
        <f t="shared" si="12"/>
        <v>-108565.33</v>
      </c>
      <c r="Q809" s="3">
        <f>Table2[[#This Row],[Gross_Profit]]/Table2[[#This Row],[Sales_Amount]]</f>
        <v>-11.521618423496326</v>
      </c>
      <c r="R809" t="str">
        <f>TEXT(Table2[[#This Row],[Sale_Date]],"mmmm")</f>
        <v>June</v>
      </c>
      <c r="S809" s="4">
        <f>YEAR(Table2[[#This Row],[Sale_Date]])</f>
        <v>2023</v>
      </c>
    </row>
    <row r="810" spans="1:19" x14ac:dyDescent="0.35">
      <c r="A810">
        <v>1055</v>
      </c>
      <c r="B810" s="1">
        <v>45010</v>
      </c>
      <c r="C810" t="s">
        <v>24</v>
      </c>
      <c r="D810" t="s">
        <v>34</v>
      </c>
      <c r="E810">
        <v>1756.83</v>
      </c>
      <c r="F810">
        <v>11</v>
      </c>
      <c r="G810" t="s">
        <v>35</v>
      </c>
      <c r="H810">
        <v>2495.1999999999998</v>
      </c>
      <c r="I810">
        <v>2600.9299999999998</v>
      </c>
      <c r="J810" t="s">
        <v>30</v>
      </c>
      <c r="K810">
        <v>0.21</v>
      </c>
      <c r="L810" t="s">
        <v>27</v>
      </c>
      <c r="M810" t="s">
        <v>22</v>
      </c>
      <c r="N810" t="s">
        <v>50</v>
      </c>
      <c r="O810">
        <f>Table2[[#This Row],[Unit_Cost]]*Table2[[#This Row],[Quantity_Sold]]</f>
        <v>27447.199999999997</v>
      </c>
      <c r="P810">
        <f t="shared" si="12"/>
        <v>-25690.369999999995</v>
      </c>
      <c r="Q810" s="3">
        <f>Table2[[#This Row],[Gross_Profit]]/Table2[[#This Row],[Sales_Amount]]</f>
        <v>-14.623139404495594</v>
      </c>
      <c r="R810" t="str">
        <f>TEXT(Table2[[#This Row],[Sale_Date]],"mmmm")</f>
        <v>March</v>
      </c>
      <c r="S810" s="4">
        <f>YEAR(Table2[[#This Row],[Sale_Date]])</f>
        <v>2023</v>
      </c>
    </row>
    <row r="811" spans="1:19" x14ac:dyDescent="0.35">
      <c r="A811">
        <v>1006</v>
      </c>
      <c r="B811" s="1">
        <v>44948</v>
      </c>
      <c r="C811" t="s">
        <v>42</v>
      </c>
      <c r="D811" t="s">
        <v>25</v>
      </c>
      <c r="E811">
        <v>5053.5600000000004</v>
      </c>
      <c r="F811">
        <v>29</v>
      </c>
      <c r="G811" t="s">
        <v>35</v>
      </c>
      <c r="H811">
        <v>4353.29</v>
      </c>
      <c r="I811">
        <v>4405.8</v>
      </c>
      <c r="J811" t="s">
        <v>30</v>
      </c>
      <c r="K811">
        <v>0.04</v>
      </c>
      <c r="L811" t="s">
        <v>27</v>
      </c>
      <c r="M811" t="s">
        <v>19</v>
      </c>
      <c r="N811" t="s">
        <v>43</v>
      </c>
      <c r="O811">
        <f>Table2[[#This Row],[Unit_Cost]]*Table2[[#This Row],[Quantity_Sold]]</f>
        <v>126245.41</v>
      </c>
      <c r="P811">
        <f t="shared" si="12"/>
        <v>-121191.85</v>
      </c>
      <c r="Q811" s="3">
        <f>Table2[[#This Row],[Gross_Profit]]/Table2[[#This Row],[Sales_Amount]]</f>
        <v>-23.981480382146447</v>
      </c>
      <c r="R811" t="str">
        <f>TEXT(Table2[[#This Row],[Sale_Date]],"mmmm")</f>
        <v>January</v>
      </c>
      <c r="S811" s="4">
        <f>YEAR(Table2[[#This Row],[Sale_Date]])</f>
        <v>2023</v>
      </c>
    </row>
    <row r="812" spans="1:19" x14ac:dyDescent="0.35">
      <c r="A812">
        <v>1092</v>
      </c>
      <c r="B812" s="1">
        <v>44953</v>
      </c>
      <c r="C812" t="s">
        <v>24</v>
      </c>
      <c r="D812" t="s">
        <v>21</v>
      </c>
      <c r="E812">
        <v>6939.75</v>
      </c>
      <c r="F812">
        <v>26</v>
      </c>
      <c r="G812" t="s">
        <v>16</v>
      </c>
      <c r="H812">
        <v>3697.29</v>
      </c>
      <c r="I812">
        <v>4003.96</v>
      </c>
      <c r="J812" t="s">
        <v>30</v>
      </c>
      <c r="K812">
        <v>0.24</v>
      </c>
      <c r="L812" t="s">
        <v>18</v>
      </c>
      <c r="M812" t="s">
        <v>19</v>
      </c>
      <c r="N812" t="s">
        <v>47</v>
      </c>
      <c r="O812">
        <f>Table2[[#This Row],[Unit_Cost]]*Table2[[#This Row],[Quantity_Sold]]</f>
        <v>96129.54</v>
      </c>
      <c r="P812">
        <f t="shared" si="12"/>
        <v>-89189.79</v>
      </c>
      <c r="Q812" s="3">
        <f>Table2[[#This Row],[Gross_Profit]]/Table2[[#This Row],[Sales_Amount]]</f>
        <v>-12.85201772398141</v>
      </c>
      <c r="R812" t="str">
        <f>TEXT(Table2[[#This Row],[Sale_Date]],"mmmm")</f>
        <v>January</v>
      </c>
      <c r="S812" s="4">
        <f>YEAR(Table2[[#This Row],[Sale_Date]])</f>
        <v>2023</v>
      </c>
    </row>
    <row r="813" spans="1:19" x14ac:dyDescent="0.35">
      <c r="A813">
        <v>1081</v>
      </c>
      <c r="B813" s="1">
        <v>45121</v>
      </c>
      <c r="C813" t="s">
        <v>38</v>
      </c>
      <c r="D813" t="s">
        <v>15</v>
      </c>
      <c r="E813">
        <v>7001.64</v>
      </c>
      <c r="F813">
        <v>16</v>
      </c>
      <c r="G813" t="s">
        <v>29</v>
      </c>
      <c r="H813">
        <v>2530.15</v>
      </c>
      <c r="I813">
        <v>2568.13</v>
      </c>
      <c r="J813" t="s">
        <v>30</v>
      </c>
      <c r="K813">
        <v>0.01</v>
      </c>
      <c r="L813" t="s">
        <v>31</v>
      </c>
      <c r="M813" t="s">
        <v>19</v>
      </c>
      <c r="N813" t="s">
        <v>40</v>
      </c>
      <c r="O813">
        <f>Table2[[#This Row],[Unit_Cost]]*Table2[[#This Row],[Quantity_Sold]]</f>
        <v>40482.400000000001</v>
      </c>
      <c r="P813">
        <f t="shared" si="12"/>
        <v>-33480.76</v>
      </c>
      <c r="Q813" s="3">
        <f>Table2[[#This Row],[Gross_Profit]]/Table2[[#This Row],[Sales_Amount]]</f>
        <v>-4.7818453962214571</v>
      </c>
      <c r="R813" t="str">
        <f>TEXT(Table2[[#This Row],[Sale_Date]],"mmmm")</f>
        <v>July</v>
      </c>
      <c r="S813" s="4">
        <f>YEAR(Table2[[#This Row],[Sale_Date]])</f>
        <v>2023</v>
      </c>
    </row>
    <row r="814" spans="1:19" x14ac:dyDescent="0.3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c r="O814">
        <f>Table2[[#This Row],[Unit_Cost]]*Table2[[#This Row],[Quantity_Sold]]</f>
        <v>100980.59999999999</v>
      </c>
      <c r="P814">
        <f t="shared" si="12"/>
        <v>-94459.069999999992</v>
      </c>
      <c r="Q814" s="3">
        <f>Table2[[#This Row],[Gross_Profit]]/Table2[[#This Row],[Sales_Amount]]</f>
        <v>-14.484188526312076</v>
      </c>
      <c r="R814" t="str">
        <f>TEXT(Table2[[#This Row],[Sale_Date]],"mmmm")</f>
        <v>December</v>
      </c>
      <c r="S814" s="4">
        <f>YEAR(Table2[[#This Row],[Sale_Date]])</f>
        <v>2023</v>
      </c>
    </row>
    <row r="815" spans="1:19" x14ac:dyDescent="0.35">
      <c r="A815">
        <v>1095</v>
      </c>
      <c r="B815" s="1">
        <v>45162</v>
      </c>
      <c r="C815" t="s">
        <v>14</v>
      </c>
      <c r="D815" t="s">
        <v>21</v>
      </c>
      <c r="E815">
        <v>2825.35</v>
      </c>
      <c r="F815">
        <v>20</v>
      </c>
      <c r="G815" t="s">
        <v>26</v>
      </c>
      <c r="H815">
        <v>729.27</v>
      </c>
      <c r="I815">
        <v>999.18</v>
      </c>
      <c r="J815" t="s">
        <v>30</v>
      </c>
      <c r="K815">
        <v>0.1</v>
      </c>
      <c r="L815" t="s">
        <v>27</v>
      </c>
      <c r="M815" t="s">
        <v>19</v>
      </c>
      <c r="N815" t="s">
        <v>23</v>
      </c>
      <c r="O815">
        <f>Table2[[#This Row],[Unit_Cost]]*Table2[[#This Row],[Quantity_Sold]]</f>
        <v>14585.4</v>
      </c>
      <c r="P815">
        <f t="shared" si="12"/>
        <v>-11760.05</v>
      </c>
      <c r="Q815" s="3">
        <f>Table2[[#This Row],[Gross_Profit]]/Table2[[#This Row],[Sales_Amount]]</f>
        <v>-4.1623338701399826</v>
      </c>
      <c r="R815" t="str">
        <f>TEXT(Table2[[#This Row],[Sale_Date]],"mmmm")</f>
        <v>August</v>
      </c>
      <c r="S815" s="4">
        <f>YEAR(Table2[[#This Row],[Sale_Date]])</f>
        <v>2023</v>
      </c>
    </row>
    <row r="816" spans="1:19" x14ac:dyDescent="0.35">
      <c r="A816">
        <v>1005</v>
      </c>
      <c r="B816" s="1">
        <v>45018</v>
      </c>
      <c r="C816" t="s">
        <v>24</v>
      </c>
      <c r="D816" t="s">
        <v>25</v>
      </c>
      <c r="E816">
        <v>1646.45</v>
      </c>
      <c r="F816">
        <v>46</v>
      </c>
      <c r="G816" t="s">
        <v>16</v>
      </c>
      <c r="H816">
        <v>4691.42</v>
      </c>
      <c r="I816">
        <v>5026.1899999999996</v>
      </c>
      <c r="J816" t="s">
        <v>17</v>
      </c>
      <c r="K816">
        <v>0.22</v>
      </c>
      <c r="L816" t="s">
        <v>27</v>
      </c>
      <c r="M816" t="s">
        <v>22</v>
      </c>
      <c r="N816" t="s">
        <v>28</v>
      </c>
      <c r="O816">
        <f>Table2[[#This Row],[Unit_Cost]]*Table2[[#This Row],[Quantity_Sold]]</f>
        <v>215805.32</v>
      </c>
      <c r="P816">
        <f t="shared" si="12"/>
        <v>-214158.87</v>
      </c>
      <c r="Q816" s="3">
        <f>Table2[[#This Row],[Gross_Profit]]/Table2[[#This Row],[Sales_Amount]]</f>
        <v>-130.07310880986364</v>
      </c>
      <c r="R816" t="str">
        <f>TEXT(Table2[[#This Row],[Sale_Date]],"mmmm")</f>
        <v>April</v>
      </c>
      <c r="S816" s="4">
        <f>YEAR(Table2[[#This Row],[Sale_Date]])</f>
        <v>2023</v>
      </c>
    </row>
    <row r="817" spans="1:19" x14ac:dyDescent="0.35">
      <c r="A817">
        <v>1003</v>
      </c>
      <c r="B817" s="1">
        <v>44947</v>
      </c>
      <c r="C817" t="s">
        <v>33</v>
      </c>
      <c r="D817" t="s">
        <v>15</v>
      </c>
      <c r="E817">
        <v>6395.81</v>
      </c>
      <c r="F817">
        <v>3</v>
      </c>
      <c r="G817" t="s">
        <v>16</v>
      </c>
      <c r="H817">
        <v>1792.05</v>
      </c>
      <c r="I817">
        <v>2091.23</v>
      </c>
      <c r="J817" t="s">
        <v>17</v>
      </c>
      <c r="K817">
        <v>0.09</v>
      </c>
      <c r="L817" t="s">
        <v>18</v>
      </c>
      <c r="M817" t="s">
        <v>22</v>
      </c>
      <c r="N817" t="s">
        <v>53</v>
      </c>
      <c r="O817">
        <f>Table2[[#This Row],[Unit_Cost]]*Table2[[#This Row],[Quantity_Sold]]</f>
        <v>5376.15</v>
      </c>
      <c r="P817">
        <f t="shared" si="12"/>
        <v>1019.6600000000008</v>
      </c>
      <c r="Q817" s="3">
        <f>Table2[[#This Row],[Gross_Profit]]/Table2[[#This Row],[Sales_Amount]]</f>
        <v>0.15942624937263625</v>
      </c>
      <c r="R817" t="str">
        <f>TEXT(Table2[[#This Row],[Sale_Date]],"mmmm")</f>
        <v>January</v>
      </c>
      <c r="S817" s="4">
        <f>YEAR(Table2[[#This Row],[Sale_Date]])</f>
        <v>2023</v>
      </c>
    </row>
    <row r="818" spans="1:19" x14ac:dyDescent="0.35">
      <c r="A818">
        <v>1053</v>
      </c>
      <c r="B818" s="1">
        <v>45229</v>
      </c>
      <c r="C818" t="s">
        <v>24</v>
      </c>
      <c r="D818" t="s">
        <v>15</v>
      </c>
      <c r="E818">
        <v>6033.09</v>
      </c>
      <c r="F818">
        <v>1</v>
      </c>
      <c r="G818" t="s">
        <v>26</v>
      </c>
      <c r="H818">
        <v>2258.44</v>
      </c>
      <c r="I818">
        <v>2475.56</v>
      </c>
      <c r="J818" t="s">
        <v>30</v>
      </c>
      <c r="K818">
        <v>0.25</v>
      </c>
      <c r="L818" t="s">
        <v>18</v>
      </c>
      <c r="M818" t="s">
        <v>19</v>
      </c>
      <c r="N818" t="s">
        <v>45</v>
      </c>
      <c r="O818">
        <f>Table2[[#This Row],[Unit_Cost]]*Table2[[#This Row],[Quantity_Sold]]</f>
        <v>2258.44</v>
      </c>
      <c r="P818">
        <f t="shared" si="12"/>
        <v>3774.65</v>
      </c>
      <c r="Q818" s="3">
        <f>Table2[[#This Row],[Gross_Profit]]/Table2[[#This Row],[Sales_Amount]]</f>
        <v>0.62565783039868461</v>
      </c>
      <c r="R818" t="str">
        <f>TEXT(Table2[[#This Row],[Sale_Date]],"mmmm")</f>
        <v>October</v>
      </c>
      <c r="S818" s="4">
        <f>YEAR(Table2[[#This Row],[Sale_Date]])</f>
        <v>2023</v>
      </c>
    </row>
    <row r="819" spans="1:19" x14ac:dyDescent="0.35">
      <c r="A819">
        <v>1023</v>
      </c>
      <c r="B819" s="1">
        <v>45283</v>
      </c>
      <c r="C819" t="s">
        <v>14</v>
      </c>
      <c r="D819" t="s">
        <v>34</v>
      </c>
      <c r="E819">
        <v>1875.62</v>
      </c>
      <c r="F819">
        <v>47</v>
      </c>
      <c r="G819" t="s">
        <v>35</v>
      </c>
      <c r="H819">
        <v>3374.72</v>
      </c>
      <c r="I819">
        <v>3483.1499999999901</v>
      </c>
      <c r="J819" t="s">
        <v>17</v>
      </c>
      <c r="K819">
        <v>0.18</v>
      </c>
      <c r="L819" t="s">
        <v>18</v>
      </c>
      <c r="M819" t="s">
        <v>19</v>
      </c>
      <c r="N819" t="s">
        <v>46</v>
      </c>
      <c r="O819">
        <f>Table2[[#This Row],[Unit_Cost]]*Table2[[#This Row],[Quantity_Sold]]</f>
        <v>158611.84</v>
      </c>
      <c r="P819">
        <f t="shared" si="12"/>
        <v>-156736.22</v>
      </c>
      <c r="Q819" s="3">
        <f>Table2[[#This Row],[Gross_Profit]]/Table2[[#This Row],[Sales_Amount]]</f>
        <v>-83.565018500549158</v>
      </c>
      <c r="R819" t="str">
        <f>TEXT(Table2[[#This Row],[Sale_Date]],"mmmm")</f>
        <v>December</v>
      </c>
      <c r="S819" s="4">
        <f>YEAR(Table2[[#This Row],[Sale_Date]])</f>
        <v>2023</v>
      </c>
    </row>
    <row r="820" spans="1:19" x14ac:dyDescent="0.35">
      <c r="A820">
        <v>1053</v>
      </c>
      <c r="B820" s="1">
        <v>45010</v>
      </c>
      <c r="C820" t="s">
        <v>14</v>
      </c>
      <c r="D820" t="s">
        <v>34</v>
      </c>
      <c r="E820">
        <v>7080.88</v>
      </c>
      <c r="F820">
        <v>1</v>
      </c>
      <c r="G820" t="s">
        <v>29</v>
      </c>
      <c r="H820">
        <v>1702.82</v>
      </c>
      <c r="I820">
        <v>1862.61</v>
      </c>
      <c r="J820" t="s">
        <v>17</v>
      </c>
      <c r="K820">
        <v>0.24</v>
      </c>
      <c r="L820" t="s">
        <v>18</v>
      </c>
      <c r="M820" t="s">
        <v>22</v>
      </c>
      <c r="N820" t="s">
        <v>46</v>
      </c>
      <c r="O820">
        <f>Table2[[#This Row],[Unit_Cost]]*Table2[[#This Row],[Quantity_Sold]]</f>
        <v>1702.82</v>
      </c>
      <c r="P820">
        <f t="shared" si="12"/>
        <v>5378.06</v>
      </c>
      <c r="Q820" s="3">
        <f>Table2[[#This Row],[Gross_Profit]]/Table2[[#This Row],[Sales_Amount]]</f>
        <v>0.7595185909096045</v>
      </c>
      <c r="R820" t="str">
        <f>TEXT(Table2[[#This Row],[Sale_Date]],"mmmm")</f>
        <v>March</v>
      </c>
      <c r="S820" s="4">
        <f>YEAR(Table2[[#This Row],[Sale_Date]])</f>
        <v>2023</v>
      </c>
    </row>
    <row r="821" spans="1:19" x14ac:dyDescent="0.35">
      <c r="A821">
        <v>1037</v>
      </c>
      <c r="B821" s="1">
        <v>45188</v>
      </c>
      <c r="C821" t="s">
        <v>42</v>
      </c>
      <c r="D821" t="s">
        <v>25</v>
      </c>
      <c r="E821">
        <v>4606.2</v>
      </c>
      <c r="F821">
        <v>17</v>
      </c>
      <c r="G821" t="s">
        <v>35</v>
      </c>
      <c r="H821">
        <v>1308.58</v>
      </c>
      <c r="I821">
        <v>1575.59</v>
      </c>
      <c r="J821" t="s">
        <v>30</v>
      </c>
      <c r="K821">
        <v>0.3</v>
      </c>
      <c r="L821" t="s">
        <v>18</v>
      </c>
      <c r="M821" t="s">
        <v>19</v>
      </c>
      <c r="N821" t="s">
        <v>43</v>
      </c>
      <c r="O821">
        <f>Table2[[#This Row],[Unit_Cost]]*Table2[[#This Row],[Quantity_Sold]]</f>
        <v>22245.86</v>
      </c>
      <c r="P821">
        <f t="shared" si="12"/>
        <v>-17639.66</v>
      </c>
      <c r="Q821" s="3">
        <f>Table2[[#This Row],[Gross_Profit]]/Table2[[#This Row],[Sales_Amount]]</f>
        <v>-3.8295471321262649</v>
      </c>
      <c r="R821" t="str">
        <f>TEXT(Table2[[#This Row],[Sale_Date]],"mmmm")</f>
        <v>September</v>
      </c>
      <c r="S821" s="4">
        <f>YEAR(Table2[[#This Row],[Sale_Date]])</f>
        <v>2023</v>
      </c>
    </row>
    <row r="822" spans="1:19" x14ac:dyDescent="0.35">
      <c r="A822">
        <v>1074</v>
      </c>
      <c r="B822" s="1">
        <v>45073</v>
      </c>
      <c r="C822" t="s">
        <v>38</v>
      </c>
      <c r="D822" t="s">
        <v>21</v>
      </c>
      <c r="E822">
        <v>6710.83</v>
      </c>
      <c r="F822">
        <v>2</v>
      </c>
      <c r="G822" t="s">
        <v>26</v>
      </c>
      <c r="H822">
        <v>3173.69</v>
      </c>
      <c r="I822">
        <v>3503.11</v>
      </c>
      <c r="J822" t="s">
        <v>30</v>
      </c>
      <c r="K822">
        <v>0.2</v>
      </c>
      <c r="L822" t="s">
        <v>27</v>
      </c>
      <c r="M822" t="s">
        <v>22</v>
      </c>
      <c r="N822" t="s">
        <v>41</v>
      </c>
      <c r="O822">
        <f>Table2[[#This Row],[Unit_Cost]]*Table2[[#This Row],[Quantity_Sold]]</f>
        <v>6347.38</v>
      </c>
      <c r="P822">
        <f t="shared" si="12"/>
        <v>363.44999999999982</v>
      </c>
      <c r="Q822" s="3">
        <f>Table2[[#This Row],[Gross_Profit]]/Table2[[#This Row],[Sales_Amount]]</f>
        <v>5.4158725522774356E-2</v>
      </c>
      <c r="R822" t="str">
        <f>TEXT(Table2[[#This Row],[Sale_Date]],"mmmm")</f>
        <v>May</v>
      </c>
      <c r="S822" s="4">
        <f>YEAR(Table2[[#This Row],[Sale_Date]])</f>
        <v>2023</v>
      </c>
    </row>
    <row r="823" spans="1:19" x14ac:dyDescent="0.35">
      <c r="A823">
        <v>1074</v>
      </c>
      <c r="B823" s="1">
        <v>45183</v>
      </c>
      <c r="C823" t="s">
        <v>24</v>
      </c>
      <c r="D823" t="s">
        <v>25</v>
      </c>
      <c r="E823">
        <v>8389.93</v>
      </c>
      <c r="F823">
        <v>29</v>
      </c>
      <c r="G823" t="s">
        <v>16</v>
      </c>
      <c r="H823">
        <v>173.67</v>
      </c>
      <c r="I823">
        <v>565.62</v>
      </c>
      <c r="J823" t="s">
        <v>17</v>
      </c>
      <c r="K823">
        <v>0.3</v>
      </c>
      <c r="L823" t="s">
        <v>18</v>
      </c>
      <c r="M823" t="s">
        <v>19</v>
      </c>
      <c r="N823" t="s">
        <v>28</v>
      </c>
      <c r="O823">
        <f>Table2[[#This Row],[Unit_Cost]]*Table2[[#This Row],[Quantity_Sold]]</f>
        <v>5036.4299999999994</v>
      </c>
      <c r="P823">
        <f t="shared" si="12"/>
        <v>3353.5000000000009</v>
      </c>
      <c r="Q823" s="3">
        <f>Table2[[#This Row],[Gross_Profit]]/Table2[[#This Row],[Sales_Amount]]</f>
        <v>0.39970536106975874</v>
      </c>
      <c r="R823" t="str">
        <f>TEXT(Table2[[#This Row],[Sale_Date]],"mmmm")</f>
        <v>September</v>
      </c>
      <c r="S823" s="4">
        <f>YEAR(Table2[[#This Row],[Sale_Date]])</f>
        <v>2023</v>
      </c>
    </row>
    <row r="824" spans="1:19" x14ac:dyDescent="0.35">
      <c r="A824">
        <v>1083</v>
      </c>
      <c r="B824" s="1">
        <v>44984</v>
      </c>
      <c r="C824" t="s">
        <v>42</v>
      </c>
      <c r="D824" t="s">
        <v>21</v>
      </c>
      <c r="E824">
        <v>1780.31</v>
      </c>
      <c r="F824">
        <v>20</v>
      </c>
      <c r="G824" t="s">
        <v>29</v>
      </c>
      <c r="H824">
        <v>3617.59</v>
      </c>
      <c r="I824">
        <v>4003.5</v>
      </c>
      <c r="J824" t="s">
        <v>30</v>
      </c>
      <c r="K824">
        <v>0.01</v>
      </c>
      <c r="L824" t="s">
        <v>31</v>
      </c>
      <c r="M824" t="s">
        <v>22</v>
      </c>
      <c r="N824" t="s">
        <v>51</v>
      </c>
      <c r="O824">
        <f>Table2[[#This Row],[Unit_Cost]]*Table2[[#This Row],[Quantity_Sold]]</f>
        <v>72351.8</v>
      </c>
      <c r="P824">
        <f t="shared" si="12"/>
        <v>-70571.490000000005</v>
      </c>
      <c r="Q824" s="3">
        <f>Table2[[#This Row],[Gross_Profit]]/Table2[[#This Row],[Sales_Amount]]</f>
        <v>-39.64000089871989</v>
      </c>
      <c r="R824" t="str">
        <f>TEXT(Table2[[#This Row],[Sale_Date]],"mmmm")</f>
        <v>February</v>
      </c>
      <c r="S824" s="4">
        <f>YEAR(Table2[[#This Row],[Sale_Date]])</f>
        <v>2023</v>
      </c>
    </row>
    <row r="825" spans="1:19" x14ac:dyDescent="0.35">
      <c r="A825">
        <v>1017</v>
      </c>
      <c r="B825" s="1">
        <v>44941</v>
      </c>
      <c r="C825" t="s">
        <v>38</v>
      </c>
      <c r="D825" t="s">
        <v>15</v>
      </c>
      <c r="E825">
        <v>289.52999999999997</v>
      </c>
      <c r="F825">
        <v>6</v>
      </c>
      <c r="G825" t="s">
        <v>16</v>
      </c>
      <c r="H825">
        <v>2594.42</v>
      </c>
      <c r="I825">
        <v>3081.04</v>
      </c>
      <c r="J825" t="s">
        <v>17</v>
      </c>
      <c r="K825">
        <v>0.1</v>
      </c>
      <c r="L825" t="s">
        <v>27</v>
      </c>
      <c r="M825" t="s">
        <v>22</v>
      </c>
      <c r="N825" t="s">
        <v>40</v>
      </c>
      <c r="O825">
        <f>Table2[[#This Row],[Unit_Cost]]*Table2[[#This Row],[Quantity_Sold]]</f>
        <v>15566.52</v>
      </c>
      <c r="P825">
        <f t="shared" si="12"/>
        <v>-15276.99</v>
      </c>
      <c r="Q825" s="3">
        <f>Table2[[#This Row],[Gross_Profit]]/Table2[[#This Row],[Sales_Amount]]</f>
        <v>-52.764791213345774</v>
      </c>
      <c r="R825" t="str">
        <f>TEXT(Table2[[#This Row],[Sale_Date]],"mmmm")</f>
        <v>January</v>
      </c>
      <c r="S825" s="4">
        <f>YEAR(Table2[[#This Row],[Sale_Date]])</f>
        <v>2023</v>
      </c>
    </row>
    <row r="826" spans="1:19" x14ac:dyDescent="0.35">
      <c r="A826">
        <v>1085</v>
      </c>
      <c r="B826" s="1">
        <v>45088</v>
      </c>
      <c r="C826" t="s">
        <v>24</v>
      </c>
      <c r="D826" t="s">
        <v>34</v>
      </c>
      <c r="E826">
        <v>7813.12</v>
      </c>
      <c r="F826">
        <v>8</v>
      </c>
      <c r="G826" t="s">
        <v>26</v>
      </c>
      <c r="H826">
        <v>3048.48</v>
      </c>
      <c r="I826">
        <v>3198.54</v>
      </c>
      <c r="J826" t="s">
        <v>17</v>
      </c>
      <c r="K826">
        <v>0.03</v>
      </c>
      <c r="L826" t="s">
        <v>27</v>
      </c>
      <c r="M826" t="s">
        <v>19</v>
      </c>
      <c r="N826" t="s">
        <v>50</v>
      </c>
      <c r="O826">
        <f>Table2[[#This Row],[Unit_Cost]]*Table2[[#This Row],[Quantity_Sold]]</f>
        <v>24387.84</v>
      </c>
      <c r="P826">
        <f t="shared" si="12"/>
        <v>-16574.72</v>
      </c>
      <c r="Q826" s="3">
        <f>Table2[[#This Row],[Gross_Profit]]/Table2[[#This Row],[Sales_Amount]]</f>
        <v>-2.1213958060288336</v>
      </c>
      <c r="R826" t="str">
        <f>TEXT(Table2[[#This Row],[Sale_Date]],"mmmm")</f>
        <v>June</v>
      </c>
      <c r="S826" s="4">
        <f>YEAR(Table2[[#This Row],[Sale_Date]])</f>
        <v>2023</v>
      </c>
    </row>
    <row r="827" spans="1:19" x14ac:dyDescent="0.35">
      <c r="A827">
        <v>1078</v>
      </c>
      <c r="B827" s="1">
        <v>45089</v>
      </c>
      <c r="C827" t="s">
        <v>33</v>
      </c>
      <c r="D827" t="s">
        <v>25</v>
      </c>
      <c r="E827">
        <v>6136</v>
      </c>
      <c r="F827">
        <v>29</v>
      </c>
      <c r="G827" t="s">
        <v>35</v>
      </c>
      <c r="H827">
        <v>3177.81</v>
      </c>
      <c r="I827">
        <v>3222.65</v>
      </c>
      <c r="J827" t="s">
        <v>17</v>
      </c>
      <c r="K827">
        <v>0.08</v>
      </c>
      <c r="L827" t="s">
        <v>31</v>
      </c>
      <c r="M827" t="s">
        <v>22</v>
      </c>
      <c r="N827" t="s">
        <v>44</v>
      </c>
      <c r="O827">
        <f>Table2[[#This Row],[Unit_Cost]]*Table2[[#This Row],[Quantity_Sold]]</f>
        <v>92156.49</v>
      </c>
      <c r="P827">
        <f t="shared" si="12"/>
        <v>-86020.49</v>
      </c>
      <c r="Q827" s="3">
        <f>Table2[[#This Row],[Gross_Profit]]/Table2[[#This Row],[Sales_Amount]]</f>
        <v>-14.018984680573665</v>
      </c>
      <c r="R827" t="str">
        <f>TEXT(Table2[[#This Row],[Sale_Date]],"mmmm")</f>
        <v>June</v>
      </c>
      <c r="S827" s="4">
        <f>YEAR(Table2[[#This Row],[Sale_Date]])</f>
        <v>2023</v>
      </c>
    </row>
    <row r="828" spans="1:19" x14ac:dyDescent="0.35">
      <c r="A828">
        <v>1073</v>
      </c>
      <c r="B828" s="1">
        <v>45246</v>
      </c>
      <c r="C828" t="s">
        <v>24</v>
      </c>
      <c r="D828" t="s">
        <v>25</v>
      </c>
      <c r="E828">
        <v>7026.43</v>
      </c>
      <c r="F828">
        <v>48</v>
      </c>
      <c r="G828" t="s">
        <v>29</v>
      </c>
      <c r="H828">
        <v>2658.9</v>
      </c>
      <c r="I828">
        <v>2838.27</v>
      </c>
      <c r="J828" t="s">
        <v>30</v>
      </c>
      <c r="K828">
        <v>0.25</v>
      </c>
      <c r="L828" t="s">
        <v>31</v>
      </c>
      <c r="M828" t="s">
        <v>19</v>
      </c>
      <c r="N828" t="s">
        <v>28</v>
      </c>
      <c r="O828">
        <f>Table2[[#This Row],[Unit_Cost]]*Table2[[#This Row],[Quantity_Sold]]</f>
        <v>127627.20000000001</v>
      </c>
      <c r="P828">
        <f t="shared" si="12"/>
        <v>-120600.77000000002</v>
      </c>
      <c r="Q828" s="3">
        <f>Table2[[#This Row],[Gross_Profit]]/Table2[[#This Row],[Sales_Amount]]</f>
        <v>-17.163875538502484</v>
      </c>
      <c r="R828" t="str">
        <f>TEXT(Table2[[#This Row],[Sale_Date]],"mmmm")</f>
        <v>November</v>
      </c>
      <c r="S828" s="4">
        <f>YEAR(Table2[[#This Row],[Sale_Date]])</f>
        <v>2023</v>
      </c>
    </row>
    <row r="829" spans="1:19" x14ac:dyDescent="0.35">
      <c r="A829">
        <v>1001</v>
      </c>
      <c r="B829" s="1">
        <v>45207</v>
      </c>
      <c r="C829" t="s">
        <v>14</v>
      </c>
      <c r="D829" t="s">
        <v>21</v>
      </c>
      <c r="E829">
        <v>8397.73</v>
      </c>
      <c r="F829">
        <v>33</v>
      </c>
      <c r="G829" t="s">
        <v>16</v>
      </c>
      <c r="H829">
        <v>2933.54</v>
      </c>
      <c r="I829">
        <v>3307.75</v>
      </c>
      <c r="J829" t="s">
        <v>17</v>
      </c>
      <c r="K829">
        <v>0.01</v>
      </c>
      <c r="L829" t="s">
        <v>27</v>
      </c>
      <c r="M829" t="s">
        <v>22</v>
      </c>
      <c r="N829" t="s">
        <v>23</v>
      </c>
      <c r="O829">
        <f>Table2[[#This Row],[Unit_Cost]]*Table2[[#This Row],[Quantity_Sold]]</f>
        <v>96806.819999999992</v>
      </c>
      <c r="P829">
        <f t="shared" si="12"/>
        <v>-88409.09</v>
      </c>
      <c r="Q829" s="3">
        <f>Table2[[#This Row],[Gross_Profit]]/Table2[[#This Row],[Sales_Amount]]</f>
        <v>-10.527736662169421</v>
      </c>
      <c r="R829" t="str">
        <f>TEXT(Table2[[#This Row],[Sale_Date]],"mmmm")</f>
        <v>October</v>
      </c>
      <c r="S829" s="4">
        <f>YEAR(Table2[[#This Row],[Sale_Date]])</f>
        <v>2023</v>
      </c>
    </row>
    <row r="830" spans="1:19" x14ac:dyDescent="0.35">
      <c r="A830">
        <v>1051</v>
      </c>
      <c r="B830" s="1">
        <v>45206</v>
      </c>
      <c r="C830" t="s">
        <v>14</v>
      </c>
      <c r="D830" t="s">
        <v>21</v>
      </c>
      <c r="E830">
        <v>8047.83</v>
      </c>
      <c r="F830">
        <v>3</v>
      </c>
      <c r="G830" t="s">
        <v>16</v>
      </c>
      <c r="H830">
        <v>3434.75</v>
      </c>
      <c r="I830">
        <v>3659.42</v>
      </c>
      <c r="J830" t="s">
        <v>30</v>
      </c>
      <c r="K830">
        <v>0.16</v>
      </c>
      <c r="L830" t="s">
        <v>18</v>
      </c>
      <c r="M830" t="s">
        <v>19</v>
      </c>
      <c r="N830" t="s">
        <v>23</v>
      </c>
      <c r="O830">
        <f>Table2[[#This Row],[Unit_Cost]]*Table2[[#This Row],[Quantity_Sold]]</f>
        <v>10304.25</v>
      </c>
      <c r="P830">
        <f t="shared" si="12"/>
        <v>-2256.42</v>
      </c>
      <c r="Q830" s="3">
        <f>Table2[[#This Row],[Gross_Profit]]/Table2[[#This Row],[Sales_Amount]]</f>
        <v>-0.28037620078952963</v>
      </c>
      <c r="R830" t="str">
        <f>TEXT(Table2[[#This Row],[Sale_Date]],"mmmm")</f>
        <v>October</v>
      </c>
      <c r="S830" s="4">
        <f>YEAR(Table2[[#This Row],[Sale_Date]])</f>
        <v>2023</v>
      </c>
    </row>
    <row r="831" spans="1:19" x14ac:dyDescent="0.35">
      <c r="A831">
        <v>1045</v>
      </c>
      <c r="B831" s="1">
        <v>44938</v>
      </c>
      <c r="C831" t="s">
        <v>33</v>
      </c>
      <c r="D831" t="s">
        <v>25</v>
      </c>
      <c r="E831">
        <v>9613.11</v>
      </c>
      <c r="F831">
        <v>35</v>
      </c>
      <c r="G831" t="s">
        <v>16</v>
      </c>
      <c r="H831">
        <v>3777.94</v>
      </c>
      <c r="I831">
        <v>4188.66</v>
      </c>
      <c r="J831" t="s">
        <v>30</v>
      </c>
      <c r="K831">
        <v>0.17</v>
      </c>
      <c r="L831" t="s">
        <v>27</v>
      </c>
      <c r="M831" t="s">
        <v>19</v>
      </c>
      <c r="N831" t="s">
        <v>44</v>
      </c>
      <c r="O831">
        <f>Table2[[#This Row],[Unit_Cost]]*Table2[[#This Row],[Quantity_Sold]]</f>
        <v>132227.9</v>
      </c>
      <c r="P831">
        <f t="shared" si="12"/>
        <v>-122614.79</v>
      </c>
      <c r="Q831" s="3">
        <f>Table2[[#This Row],[Gross_Profit]]/Table2[[#This Row],[Sales_Amount]]</f>
        <v>-12.754955472266518</v>
      </c>
      <c r="R831" t="str">
        <f>TEXT(Table2[[#This Row],[Sale_Date]],"mmmm")</f>
        <v>January</v>
      </c>
      <c r="S831" s="4">
        <f>YEAR(Table2[[#This Row],[Sale_Date]])</f>
        <v>2023</v>
      </c>
    </row>
    <row r="832" spans="1:19" x14ac:dyDescent="0.35">
      <c r="A832">
        <v>1077</v>
      </c>
      <c r="B832" s="1">
        <v>45200</v>
      </c>
      <c r="C832" t="s">
        <v>42</v>
      </c>
      <c r="D832" t="s">
        <v>21</v>
      </c>
      <c r="E832">
        <v>5405.76</v>
      </c>
      <c r="F832">
        <v>5</v>
      </c>
      <c r="G832" t="s">
        <v>35</v>
      </c>
      <c r="H832">
        <v>3650.89</v>
      </c>
      <c r="I832">
        <v>3930.06</v>
      </c>
      <c r="J832" t="s">
        <v>30</v>
      </c>
      <c r="K832">
        <v>0.17</v>
      </c>
      <c r="L832" t="s">
        <v>27</v>
      </c>
      <c r="M832" t="s">
        <v>19</v>
      </c>
      <c r="N832" t="s">
        <v>51</v>
      </c>
      <c r="O832">
        <f>Table2[[#This Row],[Unit_Cost]]*Table2[[#This Row],[Quantity_Sold]]</f>
        <v>18254.45</v>
      </c>
      <c r="P832">
        <f t="shared" si="12"/>
        <v>-12848.69</v>
      </c>
      <c r="Q832" s="3">
        <f>Table2[[#This Row],[Gross_Profit]]/Table2[[#This Row],[Sales_Amount]]</f>
        <v>-2.3768517285266086</v>
      </c>
      <c r="R832" t="str">
        <f>TEXT(Table2[[#This Row],[Sale_Date]],"mmmm")</f>
        <v>October</v>
      </c>
      <c r="S832" s="4">
        <f>YEAR(Table2[[#This Row],[Sale_Date]])</f>
        <v>2023</v>
      </c>
    </row>
    <row r="833" spans="1:19" x14ac:dyDescent="0.3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c r="O833">
        <f>Table2[[#This Row],[Unit_Cost]]*Table2[[#This Row],[Quantity_Sold]]</f>
        <v>117574.20000000001</v>
      </c>
      <c r="P833">
        <f t="shared" si="12"/>
        <v>-112638.09000000001</v>
      </c>
      <c r="Q833" s="3">
        <f>Table2[[#This Row],[Gross_Profit]]/Table2[[#This Row],[Sales_Amount]]</f>
        <v>-22.81920176009044</v>
      </c>
      <c r="R833" t="str">
        <f>TEXT(Table2[[#This Row],[Sale_Date]],"mmmm")</f>
        <v>September</v>
      </c>
      <c r="S833" s="4">
        <f>YEAR(Table2[[#This Row],[Sale_Date]])</f>
        <v>2023</v>
      </c>
    </row>
    <row r="834" spans="1:19" x14ac:dyDescent="0.35">
      <c r="A834">
        <v>1062</v>
      </c>
      <c r="B834" s="1">
        <v>45134</v>
      </c>
      <c r="C834" t="s">
        <v>24</v>
      </c>
      <c r="D834" t="s">
        <v>25</v>
      </c>
      <c r="E834">
        <v>4078.68</v>
      </c>
      <c r="F834">
        <v>44</v>
      </c>
      <c r="G834" t="s">
        <v>35</v>
      </c>
      <c r="H834">
        <v>987.74</v>
      </c>
      <c r="I834">
        <v>1462.19</v>
      </c>
      <c r="J834" t="s">
        <v>30</v>
      </c>
      <c r="K834">
        <v>0.24</v>
      </c>
      <c r="L834" t="s">
        <v>27</v>
      </c>
      <c r="M834" t="s">
        <v>19</v>
      </c>
      <c r="N834" t="s">
        <v>28</v>
      </c>
      <c r="O834">
        <f>Table2[[#This Row],[Unit_Cost]]*Table2[[#This Row],[Quantity_Sold]]</f>
        <v>43460.56</v>
      </c>
      <c r="P834">
        <f t="shared" ref="P834:P897" si="13">E834-O834</f>
        <v>-39381.879999999997</v>
      </c>
      <c r="Q834" s="3">
        <f>Table2[[#This Row],[Gross_Profit]]/Table2[[#This Row],[Sales_Amount]]</f>
        <v>-9.6555454215579548</v>
      </c>
      <c r="R834" t="str">
        <f>TEXT(Table2[[#This Row],[Sale_Date]],"mmmm")</f>
        <v>July</v>
      </c>
      <c r="S834" s="4">
        <f>YEAR(Table2[[#This Row],[Sale_Date]])</f>
        <v>2023</v>
      </c>
    </row>
    <row r="835" spans="1:19" x14ac:dyDescent="0.35">
      <c r="A835">
        <v>1065</v>
      </c>
      <c r="B835" s="1">
        <v>44953</v>
      </c>
      <c r="C835" t="s">
        <v>14</v>
      </c>
      <c r="D835" t="s">
        <v>25</v>
      </c>
      <c r="E835">
        <v>1621.54</v>
      </c>
      <c r="F835">
        <v>12</v>
      </c>
      <c r="G835" t="s">
        <v>35</v>
      </c>
      <c r="H835">
        <v>2035.68</v>
      </c>
      <c r="I835">
        <v>2079.64</v>
      </c>
      <c r="J835" t="s">
        <v>17</v>
      </c>
      <c r="K835">
        <v>0.04</v>
      </c>
      <c r="L835" t="s">
        <v>18</v>
      </c>
      <c r="M835" t="s">
        <v>19</v>
      </c>
      <c r="N835" t="s">
        <v>32</v>
      </c>
      <c r="O835">
        <f>Table2[[#This Row],[Unit_Cost]]*Table2[[#This Row],[Quantity_Sold]]</f>
        <v>24428.16</v>
      </c>
      <c r="P835">
        <f t="shared" si="13"/>
        <v>-22806.62</v>
      </c>
      <c r="Q835" s="3">
        <f>Table2[[#This Row],[Gross_Profit]]/Table2[[#This Row],[Sales_Amount]]</f>
        <v>-14.06479026110981</v>
      </c>
      <c r="R835" t="str">
        <f>TEXT(Table2[[#This Row],[Sale_Date]],"mmmm")</f>
        <v>January</v>
      </c>
      <c r="S835" s="4">
        <f>YEAR(Table2[[#This Row],[Sale_Date]])</f>
        <v>2023</v>
      </c>
    </row>
    <row r="836" spans="1:19" x14ac:dyDescent="0.35">
      <c r="A836">
        <v>1032</v>
      </c>
      <c r="B836" s="1">
        <v>44998</v>
      </c>
      <c r="C836" t="s">
        <v>42</v>
      </c>
      <c r="D836" t="s">
        <v>15</v>
      </c>
      <c r="E836">
        <v>5768.81</v>
      </c>
      <c r="F836">
        <v>20</v>
      </c>
      <c r="G836" t="s">
        <v>35</v>
      </c>
      <c r="H836">
        <v>4741.59</v>
      </c>
      <c r="I836">
        <v>4975.2299999999996</v>
      </c>
      <c r="J836" t="s">
        <v>30</v>
      </c>
      <c r="K836">
        <v>0.09</v>
      </c>
      <c r="L836" t="s">
        <v>31</v>
      </c>
      <c r="M836" t="s">
        <v>19</v>
      </c>
      <c r="N836" t="s">
        <v>49</v>
      </c>
      <c r="O836">
        <f>Table2[[#This Row],[Unit_Cost]]*Table2[[#This Row],[Quantity_Sold]]</f>
        <v>94831.8</v>
      </c>
      <c r="P836">
        <f t="shared" si="13"/>
        <v>-89062.99</v>
      </c>
      <c r="Q836" s="3">
        <f>Table2[[#This Row],[Gross_Profit]]/Table2[[#This Row],[Sales_Amount]]</f>
        <v>-15.438710929983827</v>
      </c>
      <c r="R836" t="str">
        <f>TEXT(Table2[[#This Row],[Sale_Date]],"mmmm")</f>
        <v>March</v>
      </c>
      <c r="S836" s="4">
        <f>YEAR(Table2[[#This Row],[Sale_Date]])</f>
        <v>2023</v>
      </c>
    </row>
    <row r="837" spans="1:19" x14ac:dyDescent="0.35">
      <c r="A837">
        <v>1034</v>
      </c>
      <c r="B837" s="1">
        <v>44986</v>
      </c>
      <c r="C837" t="s">
        <v>33</v>
      </c>
      <c r="D837" t="s">
        <v>21</v>
      </c>
      <c r="E837">
        <v>2842.42</v>
      </c>
      <c r="F837">
        <v>45</v>
      </c>
      <c r="G837" t="s">
        <v>26</v>
      </c>
      <c r="H837">
        <v>2013.12</v>
      </c>
      <c r="I837">
        <v>2321.87</v>
      </c>
      <c r="J837" t="s">
        <v>30</v>
      </c>
      <c r="K837">
        <v>0.18</v>
      </c>
      <c r="L837" t="s">
        <v>27</v>
      </c>
      <c r="M837" t="s">
        <v>22</v>
      </c>
      <c r="N837" t="s">
        <v>37</v>
      </c>
      <c r="O837">
        <f>Table2[[#This Row],[Unit_Cost]]*Table2[[#This Row],[Quantity_Sold]]</f>
        <v>90590.399999999994</v>
      </c>
      <c r="P837">
        <f t="shared" si="13"/>
        <v>-87747.98</v>
      </c>
      <c r="Q837" s="3">
        <f>Table2[[#This Row],[Gross_Profit]]/Table2[[#This Row],[Sales_Amount]]</f>
        <v>-30.870870596182126</v>
      </c>
      <c r="R837" t="str">
        <f>TEXT(Table2[[#This Row],[Sale_Date]],"mmmm")</f>
        <v>March</v>
      </c>
      <c r="S837" s="4">
        <f>YEAR(Table2[[#This Row],[Sale_Date]])</f>
        <v>2023</v>
      </c>
    </row>
    <row r="838" spans="1:19" x14ac:dyDescent="0.35">
      <c r="A838">
        <v>1092</v>
      </c>
      <c r="B838" s="1">
        <v>45071</v>
      </c>
      <c r="C838" t="s">
        <v>14</v>
      </c>
      <c r="D838" t="s">
        <v>34</v>
      </c>
      <c r="E838">
        <v>9220.94</v>
      </c>
      <c r="F838">
        <v>20</v>
      </c>
      <c r="G838" t="s">
        <v>26</v>
      </c>
      <c r="H838">
        <v>668.11</v>
      </c>
      <c r="I838">
        <v>803.49</v>
      </c>
      <c r="J838" t="s">
        <v>30</v>
      </c>
      <c r="K838">
        <v>0.21</v>
      </c>
      <c r="L838" t="s">
        <v>27</v>
      </c>
      <c r="M838" t="s">
        <v>19</v>
      </c>
      <c r="N838" t="s">
        <v>46</v>
      </c>
      <c r="O838">
        <f>Table2[[#This Row],[Unit_Cost]]*Table2[[#This Row],[Quantity_Sold]]</f>
        <v>13362.2</v>
      </c>
      <c r="P838">
        <f t="shared" si="13"/>
        <v>-4141.26</v>
      </c>
      <c r="Q838" s="3">
        <f>Table2[[#This Row],[Gross_Profit]]/Table2[[#This Row],[Sales_Amount]]</f>
        <v>-0.44911473233748406</v>
      </c>
      <c r="R838" t="str">
        <f>TEXT(Table2[[#This Row],[Sale_Date]],"mmmm")</f>
        <v>May</v>
      </c>
      <c r="S838" s="4">
        <f>YEAR(Table2[[#This Row],[Sale_Date]])</f>
        <v>2023</v>
      </c>
    </row>
    <row r="839" spans="1:19" x14ac:dyDescent="0.35">
      <c r="A839">
        <v>1095</v>
      </c>
      <c r="B839" s="1">
        <v>45019</v>
      </c>
      <c r="C839" t="s">
        <v>33</v>
      </c>
      <c r="D839" t="s">
        <v>34</v>
      </c>
      <c r="E839">
        <v>5873.59</v>
      </c>
      <c r="F839">
        <v>9</v>
      </c>
      <c r="G839" t="s">
        <v>26</v>
      </c>
      <c r="H839">
        <v>2650.95</v>
      </c>
      <c r="I839">
        <v>2860.4199999999901</v>
      </c>
      <c r="J839" t="s">
        <v>30</v>
      </c>
      <c r="K839">
        <v>0.12</v>
      </c>
      <c r="L839" t="s">
        <v>18</v>
      </c>
      <c r="M839" t="s">
        <v>22</v>
      </c>
      <c r="N839" t="s">
        <v>36</v>
      </c>
      <c r="O839">
        <f>Table2[[#This Row],[Unit_Cost]]*Table2[[#This Row],[Quantity_Sold]]</f>
        <v>23858.55</v>
      </c>
      <c r="P839">
        <f t="shared" si="13"/>
        <v>-17984.96</v>
      </c>
      <c r="Q839" s="3">
        <f>Table2[[#This Row],[Gross_Profit]]/Table2[[#This Row],[Sales_Amount]]</f>
        <v>-3.0620046683544473</v>
      </c>
      <c r="R839" t="str">
        <f>TEXT(Table2[[#This Row],[Sale_Date]],"mmmm")</f>
        <v>April</v>
      </c>
      <c r="S839" s="4">
        <f>YEAR(Table2[[#This Row],[Sale_Date]])</f>
        <v>2023</v>
      </c>
    </row>
    <row r="840" spans="1:19" x14ac:dyDescent="0.35">
      <c r="A840">
        <v>1072</v>
      </c>
      <c r="B840" s="1">
        <v>45235</v>
      </c>
      <c r="C840" t="s">
        <v>24</v>
      </c>
      <c r="D840" t="s">
        <v>21</v>
      </c>
      <c r="E840">
        <v>5969.12</v>
      </c>
      <c r="F840">
        <v>39</v>
      </c>
      <c r="G840" t="s">
        <v>29</v>
      </c>
      <c r="H840">
        <v>591.98</v>
      </c>
      <c r="I840">
        <v>934.04</v>
      </c>
      <c r="J840" t="s">
        <v>30</v>
      </c>
      <c r="K840">
        <v>0.26</v>
      </c>
      <c r="L840" t="s">
        <v>27</v>
      </c>
      <c r="M840" t="s">
        <v>22</v>
      </c>
      <c r="N840" t="s">
        <v>47</v>
      </c>
      <c r="O840">
        <f>Table2[[#This Row],[Unit_Cost]]*Table2[[#This Row],[Quantity_Sold]]</f>
        <v>23087.22</v>
      </c>
      <c r="P840">
        <f t="shared" si="13"/>
        <v>-17118.100000000002</v>
      </c>
      <c r="Q840" s="3">
        <f>Table2[[#This Row],[Gross_Profit]]/Table2[[#This Row],[Sales_Amount]]</f>
        <v>-2.867776154609055</v>
      </c>
      <c r="R840" t="str">
        <f>TEXT(Table2[[#This Row],[Sale_Date]],"mmmm")</f>
        <v>November</v>
      </c>
      <c r="S840" s="4">
        <f>YEAR(Table2[[#This Row],[Sale_Date]])</f>
        <v>2023</v>
      </c>
    </row>
    <row r="841" spans="1:19" x14ac:dyDescent="0.35">
      <c r="A841">
        <v>1039</v>
      </c>
      <c r="B841" s="1">
        <v>44934</v>
      </c>
      <c r="C841" t="s">
        <v>38</v>
      </c>
      <c r="D841" t="s">
        <v>25</v>
      </c>
      <c r="E841">
        <v>3613.75</v>
      </c>
      <c r="F841">
        <v>4</v>
      </c>
      <c r="G841" t="s">
        <v>35</v>
      </c>
      <c r="H841">
        <v>1054.1199999999999</v>
      </c>
      <c r="I841">
        <v>1175.21999999999</v>
      </c>
      <c r="J841" t="s">
        <v>17</v>
      </c>
      <c r="K841">
        <v>0.12</v>
      </c>
      <c r="L841" t="s">
        <v>27</v>
      </c>
      <c r="M841" t="s">
        <v>22</v>
      </c>
      <c r="N841" t="s">
        <v>39</v>
      </c>
      <c r="O841">
        <f>Table2[[#This Row],[Unit_Cost]]*Table2[[#This Row],[Quantity_Sold]]</f>
        <v>4216.4799999999996</v>
      </c>
      <c r="P841">
        <f t="shared" si="13"/>
        <v>-602.72999999999956</v>
      </c>
      <c r="Q841" s="3">
        <f>Table2[[#This Row],[Gross_Profit]]/Table2[[#This Row],[Sales_Amount]]</f>
        <v>-0.16678796264268408</v>
      </c>
      <c r="R841" t="str">
        <f>TEXT(Table2[[#This Row],[Sale_Date]],"mmmm")</f>
        <v>January</v>
      </c>
      <c r="S841" s="4">
        <f>YEAR(Table2[[#This Row],[Sale_Date]])</f>
        <v>2023</v>
      </c>
    </row>
    <row r="842" spans="1:19" x14ac:dyDescent="0.35">
      <c r="A842">
        <v>1026</v>
      </c>
      <c r="B842" s="1">
        <v>45005</v>
      </c>
      <c r="C842" t="s">
        <v>14</v>
      </c>
      <c r="D842" t="s">
        <v>34</v>
      </c>
      <c r="E842">
        <v>614.69000000000005</v>
      </c>
      <c r="F842">
        <v>19</v>
      </c>
      <c r="G842" t="s">
        <v>35</v>
      </c>
      <c r="H842">
        <v>4991.68</v>
      </c>
      <c r="I842">
        <v>5296.65</v>
      </c>
      <c r="J842" t="s">
        <v>30</v>
      </c>
      <c r="K842">
        <v>0.12</v>
      </c>
      <c r="L842" t="s">
        <v>27</v>
      </c>
      <c r="M842" t="s">
        <v>19</v>
      </c>
      <c r="N842" t="s">
        <v>46</v>
      </c>
      <c r="O842">
        <f>Table2[[#This Row],[Unit_Cost]]*Table2[[#This Row],[Quantity_Sold]]</f>
        <v>94841.920000000013</v>
      </c>
      <c r="P842">
        <f t="shared" si="13"/>
        <v>-94227.23000000001</v>
      </c>
      <c r="Q842" s="3">
        <f>Table2[[#This Row],[Gross_Profit]]/Table2[[#This Row],[Sales_Amount]]</f>
        <v>-153.29227740812442</v>
      </c>
      <c r="R842" t="str">
        <f>TEXT(Table2[[#This Row],[Sale_Date]],"mmmm")</f>
        <v>March</v>
      </c>
      <c r="S842" s="4">
        <f>YEAR(Table2[[#This Row],[Sale_Date]])</f>
        <v>2023</v>
      </c>
    </row>
    <row r="843" spans="1:19" x14ac:dyDescent="0.35">
      <c r="A843">
        <v>1034</v>
      </c>
      <c r="B843" s="1">
        <v>44953</v>
      </c>
      <c r="C843" t="s">
        <v>14</v>
      </c>
      <c r="D843" t="s">
        <v>34</v>
      </c>
      <c r="E843">
        <v>414.26</v>
      </c>
      <c r="F843">
        <v>38</v>
      </c>
      <c r="G843" t="s">
        <v>26</v>
      </c>
      <c r="H843">
        <v>2729.75</v>
      </c>
      <c r="I843">
        <v>3081.5</v>
      </c>
      <c r="J843" t="s">
        <v>30</v>
      </c>
      <c r="K843">
        <v>0.01</v>
      </c>
      <c r="L843" t="s">
        <v>27</v>
      </c>
      <c r="M843" t="s">
        <v>19</v>
      </c>
      <c r="N843" t="s">
        <v>46</v>
      </c>
      <c r="O843">
        <f>Table2[[#This Row],[Unit_Cost]]*Table2[[#This Row],[Quantity_Sold]]</f>
        <v>103730.5</v>
      </c>
      <c r="P843">
        <f t="shared" si="13"/>
        <v>-103316.24</v>
      </c>
      <c r="Q843" s="3">
        <f>Table2[[#This Row],[Gross_Profit]]/Table2[[#This Row],[Sales_Amount]]</f>
        <v>-249.39950755564141</v>
      </c>
      <c r="R843" t="str">
        <f>TEXT(Table2[[#This Row],[Sale_Date]],"mmmm")</f>
        <v>January</v>
      </c>
      <c r="S843" s="4">
        <f>YEAR(Table2[[#This Row],[Sale_Date]])</f>
        <v>2023</v>
      </c>
    </row>
    <row r="844" spans="1:19" x14ac:dyDescent="0.35">
      <c r="A844">
        <v>1054</v>
      </c>
      <c r="B844" s="1">
        <v>45100</v>
      </c>
      <c r="C844" t="s">
        <v>24</v>
      </c>
      <c r="D844" t="s">
        <v>21</v>
      </c>
      <c r="E844">
        <v>4291.0200000000004</v>
      </c>
      <c r="F844">
        <v>27</v>
      </c>
      <c r="G844" t="s">
        <v>35</v>
      </c>
      <c r="H844">
        <v>1456.09</v>
      </c>
      <c r="I844">
        <v>1510.4299999999901</v>
      </c>
      <c r="J844" t="s">
        <v>17</v>
      </c>
      <c r="K844">
        <v>0.17</v>
      </c>
      <c r="L844" t="s">
        <v>18</v>
      </c>
      <c r="M844" t="s">
        <v>22</v>
      </c>
      <c r="N844" t="s">
        <v>47</v>
      </c>
      <c r="O844">
        <f>Table2[[#This Row],[Unit_Cost]]*Table2[[#This Row],[Quantity_Sold]]</f>
        <v>39314.43</v>
      </c>
      <c r="P844">
        <f t="shared" si="13"/>
        <v>-35023.410000000003</v>
      </c>
      <c r="Q844" s="3">
        <f>Table2[[#This Row],[Gross_Profit]]/Table2[[#This Row],[Sales_Amount]]</f>
        <v>-8.1620244137757449</v>
      </c>
      <c r="R844" t="str">
        <f>TEXT(Table2[[#This Row],[Sale_Date]],"mmmm")</f>
        <v>June</v>
      </c>
      <c r="S844" s="4">
        <f>YEAR(Table2[[#This Row],[Sale_Date]])</f>
        <v>2023</v>
      </c>
    </row>
    <row r="845" spans="1:19" x14ac:dyDescent="0.35">
      <c r="A845">
        <v>1003</v>
      </c>
      <c r="B845" s="1">
        <v>44976</v>
      </c>
      <c r="C845" t="s">
        <v>42</v>
      </c>
      <c r="D845" t="s">
        <v>34</v>
      </c>
      <c r="E845">
        <v>937.2</v>
      </c>
      <c r="F845">
        <v>45</v>
      </c>
      <c r="G845" t="s">
        <v>35</v>
      </c>
      <c r="H845">
        <v>4974.1400000000003</v>
      </c>
      <c r="I845">
        <v>5227.93</v>
      </c>
      <c r="J845" t="s">
        <v>30</v>
      </c>
      <c r="K845">
        <v>0.21</v>
      </c>
      <c r="L845" t="s">
        <v>27</v>
      </c>
      <c r="M845" t="s">
        <v>19</v>
      </c>
      <c r="N845" t="s">
        <v>52</v>
      </c>
      <c r="O845">
        <f>Table2[[#This Row],[Unit_Cost]]*Table2[[#This Row],[Quantity_Sold]]</f>
        <v>223836.30000000002</v>
      </c>
      <c r="P845">
        <f t="shared" si="13"/>
        <v>-222899.1</v>
      </c>
      <c r="Q845" s="3">
        <f>Table2[[#This Row],[Gross_Profit]]/Table2[[#This Row],[Sales_Amount]]</f>
        <v>-237.83514724711907</v>
      </c>
      <c r="R845" t="str">
        <f>TEXT(Table2[[#This Row],[Sale_Date]],"mmmm")</f>
        <v>February</v>
      </c>
      <c r="S845" s="4">
        <f>YEAR(Table2[[#This Row],[Sale_Date]])</f>
        <v>2023</v>
      </c>
    </row>
    <row r="846" spans="1:19" x14ac:dyDescent="0.35">
      <c r="A846">
        <v>1050</v>
      </c>
      <c r="B846" s="1">
        <v>45125</v>
      </c>
      <c r="C846" t="s">
        <v>38</v>
      </c>
      <c r="D846" t="s">
        <v>25</v>
      </c>
      <c r="E846">
        <v>6107.78</v>
      </c>
      <c r="F846">
        <v>43</v>
      </c>
      <c r="G846" t="s">
        <v>16</v>
      </c>
      <c r="H846">
        <v>4834.47</v>
      </c>
      <c r="I846">
        <v>4973.38</v>
      </c>
      <c r="J846" t="s">
        <v>17</v>
      </c>
      <c r="K846">
        <v>0.03</v>
      </c>
      <c r="L846" t="s">
        <v>27</v>
      </c>
      <c r="M846" t="s">
        <v>19</v>
      </c>
      <c r="N846" t="s">
        <v>39</v>
      </c>
      <c r="O846">
        <f>Table2[[#This Row],[Unit_Cost]]*Table2[[#This Row],[Quantity_Sold]]</f>
        <v>207882.21000000002</v>
      </c>
      <c r="P846">
        <f t="shared" si="13"/>
        <v>-201774.43000000002</v>
      </c>
      <c r="Q846" s="3">
        <f>Table2[[#This Row],[Gross_Profit]]/Table2[[#This Row],[Sales_Amount]]</f>
        <v>-33.035641427818298</v>
      </c>
      <c r="R846" t="str">
        <f>TEXT(Table2[[#This Row],[Sale_Date]],"mmmm")</f>
        <v>July</v>
      </c>
      <c r="S846" s="4">
        <f>YEAR(Table2[[#This Row],[Sale_Date]])</f>
        <v>2023</v>
      </c>
    </row>
    <row r="847" spans="1:19" x14ac:dyDescent="0.35">
      <c r="A847">
        <v>1012</v>
      </c>
      <c r="B847" s="1">
        <v>45275</v>
      </c>
      <c r="C847" t="s">
        <v>14</v>
      </c>
      <c r="D847" t="s">
        <v>21</v>
      </c>
      <c r="E847">
        <v>8821.6299999999992</v>
      </c>
      <c r="F847">
        <v>13</v>
      </c>
      <c r="G847" t="s">
        <v>35</v>
      </c>
      <c r="H847">
        <v>2231.66</v>
      </c>
      <c r="I847">
        <v>2596.6099999999901</v>
      </c>
      <c r="J847" t="s">
        <v>17</v>
      </c>
      <c r="K847">
        <v>0.09</v>
      </c>
      <c r="L847" t="s">
        <v>27</v>
      </c>
      <c r="M847" t="s">
        <v>22</v>
      </c>
      <c r="N847" t="s">
        <v>23</v>
      </c>
      <c r="O847">
        <f>Table2[[#This Row],[Unit_Cost]]*Table2[[#This Row],[Quantity_Sold]]</f>
        <v>29011.579999999998</v>
      </c>
      <c r="P847">
        <f t="shared" si="13"/>
        <v>-20189.949999999997</v>
      </c>
      <c r="Q847" s="3">
        <f>Table2[[#This Row],[Gross_Profit]]/Table2[[#This Row],[Sales_Amount]]</f>
        <v>-2.2886870113573115</v>
      </c>
      <c r="R847" t="str">
        <f>TEXT(Table2[[#This Row],[Sale_Date]],"mmmm")</f>
        <v>December</v>
      </c>
      <c r="S847" s="4">
        <f>YEAR(Table2[[#This Row],[Sale_Date]])</f>
        <v>2023</v>
      </c>
    </row>
    <row r="848" spans="1:19" x14ac:dyDescent="0.35">
      <c r="A848">
        <v>1065</v>
      </c>
      <c r="B848" s="1">
        <v>45107</v>
      </c>
      <c r="C848" t="s">
        <v>38</v>
      </c>
      <c r="D848" t="s">
        <v>25</v>
      </c>
      <c r="E848">
        <v>8840.86</v>
      </c>
      <c r="F848">
        <v>13</v>
      </c>
      <c r="G848" t="s">
        <v>16</v>
      </c>
      <c r="H848">
        <v>1339</v>
      </c>
      <c r="I848">
        <v>1441.88</v>
      </c>
      <c r="J848" t="s">
        <v>17</v>
      </c>
      <c r="K848">
        <v>0.23</v>
      </c>
      <c r="L848" t="s">
        <v>31</v>
      </c>
      <c r="M848" t="s">
        <v>22</v>
      </c>
      <c r="N848" t="s">
        <v>39</v>
      </c>
      <c r="O848">
        <f>Table2[[#This Row],[Unit_Cost]]*Table2[[#This Row],[Quantity_Sold]]</f>
        <v>17407</v>
      </c>
      <c r="P848">
        <f t="shared" si="13"/>
        <v>-8566.14</v>
      </c>
      <c r="Q848" s="3">
        <f>Table2[[#This Row],[Gross_Profit]]/Table2[[#This Row],[Sales_Amount]]</f>
        <v>-0.96892609994955226</v>
      </c>
      <c r="R848" t="str">
        <f>TEXT(Table2[[#This Row],[Sale_Date]],"mmmm")</f>
        <v>June</v>
      </c>
      <c r="S848" s="4">
        <f>YEAR(Table2[[#This Row],[Sale_Date]])</f>
        <v>2023</v>
      </c>
    </row>
    <row r="849" spans="1:19" x14ac:dyDescent="0.35">
      <c r="A849">
        <v>1054</v>
      </c>
      <c r="B849" s="1">
        <v>44950</v>
      </c>
      <c r="C849" t="s">
        <v>14</v>
      </c>
      <c r="D849" t="s">
        <v>34</v>
      </c>
      <c r="E849">
        <v>6624.55</v>
      </c>
      <c r="F849">
        <v>22</v>
      </c>
      <c r="G849" t="s">
        <v>35</v>
      </c>
      <c r="H849">
        <v>4200.08</v>
      </c>
      <c r="I849">
        <v>4647.28</v>
      </c>
      <c r="J849" t="s">
        <v>17</v>
      </c>
      <c r="K849">
        <v>0.11</v>
      </c>
      <c r="L849" t="s">
        <v>18</v>
      </c>
      <c r="M849" t="s">
        <v>19</v>
      </c>
      <c r="N849" t="s">
        <v>46</v>
      </c>
      <c r="O849">
        <f>Table2[[#This Row],[Unit_Cost]]*Table2[[#This Row],[Quantity_Sold]]</f>
        <v>92401.76</v>
      </c>
      <c r="P849">
        <f t="shared" si="13"/>
        <v>-85777.209999999992</v>
      </c>
      <c r="Q849" s="3">
        <f>Table2[[#This Row],[Gross_Profit]]/Table2[[#This Row],[Sales_Amount]]</f>
        <v>-12.948382909027782</v>
      </c>
      <c r="R849" t="str">
        <f>TEXT(Table2[[#This Row],[Sale_Date]],"mmmm")</f>
        <v>January</v>
      </c>
      <c r="S849" s="4">
        <f>YEAR(Table2[[#This Row],[Sale_Date]])</f>
        <v>2023</v>
      </c>
    </row>
    <row r="850" spans="1:19" x14ac:dyDescent="0.3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c r="O850">
        <f>Table2[[#This Row],[Unit_Cost]]*Table2[[#This Row],[Quantity_Sold]]</f>
        <v>100584.96000000001</v>
      </c>
      <c r="P850">
        <f t="shared" si="13"/>
        <v>-98393.760000000009</v>
      </c>
      <c r="Q850" s="3">
        <f>Table2[[#This Row],[Gross_Profit]]/Table2[[#This Row],[Sales_Amount]]</f>
        <v>-44.904052573932098</v>
      </c>
      <c r="R850" t="str">
        <f>TEXT(Table2[[#This Row],[Sale_Date]],"mmmm")</f>
        <v>November</v>
      </c>
      <c r="S850" s="4">
        <f>YEAR(Table2[[#This Row],[Sale_Date]])</f>
        <v>2023</v>
      </c>
    </row>
    <row r="851" spans="1:19" x14ac:dyDescent="0.35">
      <c r="A851">
        <v>1094</v>
      </c>
      <c r="B851" s="1">
        <v>44972</v>
      </c>
      <c r="C851" t="s">
        <v>33</v>
      </c>
      <c r="D851" t="s">
        <v>25</v>
      </c>
      <c r="E851">
        <v>8643.67</v>
      </c>
      <c r="F851">
        <v>47</v>
      </c>
      <c r="G851" t="s">
        <v>26</v>
      </c>
      <c r="H851">
        <v>3450.36</v>
      </c>
      <c r="I851">
        <v>3557.38</v>
      </c>
      <c r="J851" t="s">
        <v>30</v>
      </c>
      <c r="K851">
        <v>0.2</v>
      </c>
      <c r="L851" t="s">
        <v>31</v>
      </c>
      <c r="M851" t="s">
        <v>19</v>
      </c>
      <c r="N851" t="s">
        <v>44</v>
      </c>
      <c r="O851">
        <f>Table2[[#This Row],[Unit_Cost]]*Table2[[#This Row],[Quantity_Sold]]</f>
        <v>162166.92000000001</v>
      </c>
      <c r="P851">
        <f t="shared" si="13"/>
        <v>-153523.25</v>
      </c>
      <c r="Q851" s="3">
        <f>Table2[[#This Row],[Gross_Profit]]/Table2[[#This Row],[Sales_Amount]]</f>
        <v>-17.761350213508845</v>
      </c>
      <c r="R851" t="str">
        <f>TEXT(Table2[[#This Row],[Sale_Date]],"mmmm")</f>
        <v>February</v>
      </c>
      <c r="S851" s="4">
        <f>YEAR(Table2[[#This Row],[Sale_Date]])</f>
        <v>2023</v>
      </c>
    </row>
    <row r="852" spans="1:19" x14ac:dyDescent="0.35">
      <c r="A852">
        <v>1094</v>
      </c>
      <c r="B852" s="1">
        <v>44941</v>
      </c>
      <c r="C852" t="s">
        <v>14</v>
      </c>
      <c r="D852" t="s">
        <v>15</v>
      </c>
      <c r="E852">
        <v>8872.33</v>
      </c>
      <c r="F852">
        <v>45</v>
      </c>
      <c r="G852" t="s">
        <v>16</v>
      </c>
      <c r="H852">
        <v>4470.91</v>
      </c>
      <c r="I852">
        <v>4695.54</v>
      </c>
      <c r="J852" t="s">
        <v>17</v>
      </c>
      <c r="K852">
        <v>0.06</v>
      </c>
      <c r="L852" t="s">
        <v>18</v>
      </c>
      <c r="M852" t="s">
        <v>22</v>
      </c>
      <c r="N852" t="s">
        <v>20</v>
      </c>
      <c r="O852">
        <f>Table2[[#This Row],[Unit_Cost]]*Table2[[#This Row],[Quantity_Sold]]</f>
        <v>201190.94999999998</v>
      </c>
      <c r="P852">
        <f t="shared" si="13"/>
        <v>-192318.62</v>
      </c>
      <c r="Q852" s="3">
        <f>Table2[[#This Row],[Gross_Profit]]/Table2[[#This Row],[Sales_Amount]]</f>
        <v>-21.67622484736253</v>
      </c>
      <c r="R852" t="str">
        <f>TEXT(Table2[[#This Row],[Sale_Date]],"mmmm")</f>
        <v>January</v>
      </c>
      <c r="S852" s="4">
        <f>YEAR(Table2[[#This Row],[Sale_Date]])</f>
        <v>2023</v>
      </c>
    </row>
    <row r="853" spans="1:19" x14ac:dyDescent="0.35">
      <c r="A853">
        <v>1057</v>
      </c>
      <c r="B853" s="1">
        <v>45079</v>
      </c>
      <c r="C853" t="s">
        <v>38</v>
      </c>
      <c r="D853" t="s">
        <v>34</v>
      </c>
      <c r="E853">
        <v>2046.87</v>
      </c>
      <c r="F853">
        <v>22</v>
      </c>
      <c r="G853" t="s">
        <v>26</v>
      </c>
      <c r="H853">
        <v>3462.61</v>
      </c>
      <c r="I853">
        <v>3672.89</v>
      </c>
      <c r="J853" t="s">
        <v>17</v>
      </c>
      <c r="K853">
        <v>0.27</v>
      </c>
      <c r="L853" t="s">
        <v>31</v>
      </c>
      <c r="M853" t="s">
        <v>19</v>
      </c>
      <c r="N853" t="s">
        <v>48</v>
      </c>
      <c r="O853">
        <f>Table2[[#This Row],[Unit_Cost]]*Table2[[#This Row],[Quantity_Sold]]</f>
        <v>76177.42</v>
      </c>
      <c r="P853">
        <f t="shared" si="13"/>
        <v>-74130.55</v>
      </c>
      <c r="Q853" s="3">
        <f>Table2[[#This Row],[Gross_Profit]]/Table2[[#This Row],[Sales_Amount]]</f>
        <v>-36.216540376281841</v>
      </c>
      <c r="R853" t="str">
        <f>TEXT(Table2[[#This Row],[Sale_Date]],"mmmm")</f>
        <v>June</v>
      </c>
      <c r="S853" s="4">
        <f>YEAR(Table2[[#This Row],[Sale_Date]])</f>
        <v>2023</v>
      </c>
    </row>
    <row r="854" spans="1:19" x14ac:dyDescent="0.35">
      <c r="A854">
        <v>1017</v>
      </c>
      <c r="B854" s="1">
        <v>45148</v>
      </c>
      <c r="C854" t="s">
        <v>42</v>
      </c>
      <c r="D854" t="s">
        <v>15</v>
      </c>
      <c r="E854">
        <v>7400.52</v>
      </c>
      <c r="F854">
        <v>43</v>
      </c>
      <c r="G854" t="s">
        <v>16</v>
      </c>
      <c r="H854">
        <v>1454.8</v>
      </c>
      <c r="I854">
        <v>1674.97</v>
      </c>
      <c r="J854" t="s">
        <v>30</v>
      </c>
      <c r="K854">
        <v>0.03</v>
      </c>
      <c r="L854" t="s">
        <v>31</v>
      </c>
      <c r="M854" t="s">
        <v>19</v>
      </c>
      <c r="N854" t="s">
        <v>49</v>
      </c>
      <c r="O854">
        <f>Table2[[#This Row],[Unit_Cost]]*Table2[[#This Row],[Quantity_Sold]]</f>
        <v>62556.4</v>
      </c>
      <c r="P854">
        <f t="shared" si="13"/>
        <v>-55155.880000000005</v>
      </c>
      <c r="Q854" s="3">
        <f>Table2[[#This Row],[Gross_Profit]]/Table2[[#This Row],[Sales_Amount]]</f>
        <v>-7.4529735748298771</v>
      </c>
      <c r="R854" t="str">
        <f>TEXT(Table2[[#This Row],[Sale_Date]],"mmmm")</f>
        <v>August</v>
      </c>
      <c r="S854" s="4">
        <f>YEAR(Table2[[#This Row],[Sale_Date]])</f>
        <v>2023</v>
      </c>
    </row>
    <row r="855" spans="1:19" x14ac:dyDescent="0.35">
      <c r="A855">
        <v>1047</v>
      </c>
      <c r="B855" s="1">
        <v>45132</v>
      </c>
      <c r="C855" t="s">
        <v>33</v>
      </c>
      <c r="D855" t="s">
        <v>34</v>
      </c>
      <c r="E855">
        <v>2936.54</v>
      </c>
      <c r="F855">
        <v>19</v>
      </c>
      <c r="G855" t="s">
        <v>16</v>
      </c>
      <c r="H855">
        <v>3484.62</v>
      </c>
      <c r="I855">
        <v>3781.5499999999902</v>
      </c>
      <c r="J855" t="s">
        <v>17</v>
      </c>
      <c r="K855">
        <v>0.21</v>
      </c>
      <c r="L855" t="s">
        <v>31</v>
      </c>
      <c r="M855" t="s">
        <v>22</v>
      </c>
      <c r="N855" t="s">
        <v>36</v>
      </c>
      <c r="O855">
        <f>Table2[[#This Row],[Unit_Cost]]*Table2[[#This Row],[Quantity_Sold]]</f>
        <v>66207.78</v>
      </c>
      <c r="P855">
        <f t="shared" si="13"/>
        <v>-63271.24</v>
      </c>
      <c r="Q855" s="3">
        <f>Table2[[#This Row],[Gross_Profit]]/Table2[[#This Row],[Sales_Amount]]</f>
        <v>-21.546187009201304</v>
      </c>
      <c r="R855" t="str">
        <f>TEXT(Table2[[#This Row],[Sale_Date]],"mmmm")</f>
        <v>July</v>
      </c>
      <c r="S855" s="4">
        <f>YEAR(Table2[[#This Row],[Sale_Date]])</f>
        <v>2023</v>
      </c>
    </row>
    <row r="856" spans="1:19" x14ac:dyDescent="0.35">
      <c r="A856">
        <v>1023</v>
      </c>
      <c r="B856" s="1">
        <v>45199</v>
      </c>
      <c r="C856" t="s">
        <v>33</v>
      </c>
      <c r="D856" t="s">
        <v>15</v>
      </c>
      <c r="E856">
        <v>8046.14</v>
      </c>
      <c r="F856">
        <v>8</v>
      </c>
      <c r="G856" t="s">
        <v>16</v>
      </c>
      <c r="H856">
        <v>1563.78</v>
      </c>
      <c r="I856">
        <v>1829.1599999999901</v>
      </c>
      <c r="J856" t="s">
        <v>17</v>
      </c>
      <c r="K856">
        <v>0.15</v>
      </c>
      <c r="L856" t="s">
        <v>18</v>
      </c>
      <c r="M856" t="s">
        <v>19</v>
      </c>
      <c r="N856" t="s">
        <v>53</v>
      </c>
      <c r="O856">
        <f>Table2[[#This Row],[Unit_Cost]]*Table2[[#This Row],[Quantity_Sold]]</f>
        <v>12510.24</v>
      </c>
      <c r="P856">
        <f t="shared" si="13"/>
        <v>-4464.0999999999995</v>
      </c>
      <c r="Q856" s="3">
        <f>Table2[[#This Row],[Gross_Profit]]/Table2[[#This Row],[Sales_Amount]]</f>
        <v>-0.55481261822439076</v>
      </c>
      <c r="R856" t="str">
        <f>TEXT(Table2[[#This Row],[Sale_Date]],"mmmm")</f>
        <v>September</v>
      </c>
      <c r="S856" s="4">
        <f>YEAR(Table2[[#This Row],[Sale_Date]])</f>
        <v>2023</v>
      </c>
    </row>
    <row r="857" spans="1:19" x14ac:dyDescent="0.35">
      <c r="A857">
        <v>1079</v>
      </c>
      <c r="B857" s="1">
        <v>45162</v>
      </c>
      <c r="C857" t="s">
        <v>42</v>
      </c>
      <c r="D857" t="s">
        <v>15</v>
      </c>
      <c r="E857">
        <v>9972.66</v>
      </c>
      <c r="F857">
        <v>8</v>
      </c>
      <c r="G857" t="s">
        <v>29</v>
      </c>
      <c r="H857">
        <v>3808.23</v>
      </c>
      <c r="I857">
        <v>3891.62</v>
      </c>
      <c r="J857" t="s">
        <v>17</v>
      </c>
      <c r="K857">
        <v>0.26</v>
      </c>
      <c r="L857" t="s">
        <v>27</v>
      </c>
      <c r="M857" t="s">
        <v>19</v>
      </c>
      <c r="N857" t="s">
        <v>49</v>
      </c>
      <c r="O857">
        <f>Table2[[#This Row],[Unit_Cost]]*Table2[[#This Row],[Quantity_Sold]]</f>
        <v>30465.84</v>
      </c>
      <c r="P857">
        <f t="shared" si="13"/>
        <v>-20493.18</v>
      </c>
      <c r="Q857" s="3">
        <f>Table2[[#This Row],[Gross_Profit]]/Table2[[#This Row],[Sales_Amount]]</f>
        <v>-2.0549361955586574</v>
      </c>
      <c r="R857" t="str">
        <f>TEXT(Table2[[#This Row],[Sale_Date]],"mmmm")</f>
        <v>August</v>
      </c>
      <c r="S857" s="4">
        <f>YEAR(Table2[[#This Row],[Sale_Date]])</f>
        <v>2023</v>
      </c>
    </row>
    <row r="858" spans="1:19" x14ac:dyDescent="0.35">
      <c r="A858">
        <v>1085</v>
      </c>
      <c r="B858" s="1">
        <v>45266</v>
      </c>
      <c r="C858" t="s">
        <v>38</v>
      </c>
      <c r="D858" t="s">
        <v>15</v>
      </c>
      <c r="E858">
        <v>397.26</v>
      </c>
      <c r="F858">
        <v>42</v>
      </c>
      <c r="G858" t="s">
        <v>35</v>
      </c>
      <c r="H858">
        <v>3117.75</v>
      </c>
      <c r="I858">
        <v>3159.88</v>
      </c>
      <c r="J858" t="s">
        <v>30</v>
      </c>
      <c r="K858">
        <v>0.04</v>
      </c>
      <c r="L858" t="s">
        <v>18</v>
      </c>
      <c r="M858" t="s">
        <v>22</v>
      </c>
      <c r="N858" t="s">
        <v>40</v>
      </c>
      <c r="O858">
        <f>Table2[[#This Row],[Unit_Cost]]*Table2[[#This Row],[Quantity_Sold]]</f>
        <v>130945.5</v>
      </c>
      <c r="P858">
        <f t="shared" si="13"/>
        <v>-130548.24</v>
      </c>
      <c r="Q858" s="3">
        <f>Table2[[#This Row],[Gross_Profit]]/Table2[[#This Row],[Sales_Amount]]</f>
        <v>-328.62165835976441</v>
      </c>
      <c r="R858" t="str">
        <f>TEXT(Table2[[#This Row],[Sale_Date]],"mmmm")</f>
        <v>December</v>
      </c>
      <c r="S858" s="4">
        <f>YEAR(Table2[[#This Row],[Sale_Date]])</f>
        <v>2023</v>
      </c>
    </row>
    <row r="859" spans="1:19" x14ac:dyDescent="0.35">
      <c r="A859">
        <v>1014</v>
      </c>
      <c r="B859" s="1">
        <v>45154</v>
      </c>
      <c r="C859" t="s">
        <v>24</v>
      </c>
      <c r="D859" t="s">
        <v>25</v>
      </c>
      <c r="E859">
        <v>8983.92</v>
      </c>
      <c r="F859">
        <v>26</v>
      </c>
      <c r="G859" t="s">
        <v>16</v>
      </c>
      <c r="H859">
        <v>433.19</v>
      </c>
      <c r="I859">
        <v>800.6</v>
      </c>
      <c r="J859" t="s">
        <v>17</v>
      </c>
      <c r="K859">
        <v>0.2</v>
      </c>
      <c r="L859" t="s">
        <v>18</v>
      </c>
      <c r="M859" t="s">
        <v>19</v>
      </c>
      <c r="N859" t="s">
        <v>28</v>
      </c>
      <c r="O859">
        <f>Table2[[#This Row],[Unit_Cost]]*Table2[[#This Row],[Quantity_Sold]]</f>
        <v>11262.94</v>
      </c>
      <c r="P859">
        <f t="shared" si="13"/>
        <v>-2279.0200000000004</v>
      </c>
      <c r="Q859" s="3">
        <f>Table2[[#This Row],[Gross_Profit]]/Table2[[#This Row],[Sales_Amount]]</f>
        <v>-0.25367768190277745</v>
      </c>
      <c r="R859" t="str">
        <f>TEXT(Table2[[#This Row],[Sale_Date]],"mmmm")</f>
        <v>August</v>
      </c>
      <c r="S859" s="4">
        <f>YEAR(Table2[[#This Row],[Sale_Date]])</f>
        <v>2023</v>
      </c>
    </row>
    <row r="860" spans="1:19" x14ac:dyDescent="0.35">
      <c r="A860">
        <v>1066</v>
      </c>
      <c r="B860" s="1">
        <v>44935</v>
      </c>
      <c r="C860" t="s">
        <v>42</v>
      </c>
      <c r="D860" t="s">
        <v>15</v>
      </c>
      <c r="E860">
        <v>6264.04</v>
      </c>
      <c r="F860">
        <v>48</v>
      </c>
      <c r="G860" t="s">
        <v>29</v>
      </c>
      <c r="H860">
        <v>2588.54</v>
      </c>
      <c r="I860">
        <v>2872.8</v>
      </c>
      <c r="J860" t="s">
        <v>30</v>
      </c>
      <c r="K860">
        <v>0.17</v>
      </c>
      <c r="L860" t="s">
        <v>18</v>
      </c>
      <c r="M860" t="s">
        <v>19</v>
      </c>
      <c r="N860" t="s">
        <v>49</v>
      </c>
      <c r="O860">
        <f>Table2[[#This Row],[Unit_Cost]]*Table2[[#This Row],[Quantity_Sold]]</f>
        <v>124249.92</v>
      </c>
      <c r="P860">
        <f t="shared" si="13"/>
        <v>-117985.88</v>
      </c>
      <c r="Q860" s="3">
        <f>Table2[[#This Row],[Gross_Profit]]/Table2[[#This Row],[Sales_Amount]]</f>
        <v>-18.835428892535809</v>
      </c>
      <c r="R860" t="str">
        <f>TEXT(Table2[[#This Row],[Sale_Date]],"mmmm")</f>
        <v>January</v>
      </c>
      <c r="S860" s="4">
        <f>YEAR(Table2[[#This Row],[Sale_Date]])</f>
        <v>2023</v>
      </c>
    </row>
    <row r="861" spans="1:19" x14ac:dyDescent="0.35">
      <c r="A861">
        <v>1075</v>
      </c>
      <c r="B861" s="1">
        <v>45092</v>
      </c>
      <c r="C861" t="s">
        <v>38</v>
      </c>
      <c r="D861" t="s">
        <v>15</v>
      </c>
      <c r="E861">
        <v>9736.49</v>
      </c>
      <c r="F861">
        <v>26</v>
      </c>
      <c r="G861" t="s">
        <v>16</v>
      </c>
      <c r="H861">
        <v>1749.34</v>
      </c>
      <c r="I861">
        <v>1935.25</v>
      </c>
      <c r="J861" t="s">
        <v>30</v>
      </c>
      <c r="K861">
        <v>0.14000000000000001</v>
      </c>
      <c r="L861" t="s">
        <v>31</v>
      </c>
      <c r="M861" t="s">
        <v>19</v>
      </c>
      <c r="N861" t="s">
        <v>40</v>
      </c>
      <c r="O861">
        <f>Table2[[#This Row],[Unit_Cost]]*Table2[[#This Row],[Quantity_Sold]]</f>
        <v>45482.84</v>
      </c>
      <c r="P861">
        <f t="shared" si="13"/>
        <v>-35746.35</v>
      </c>
      <c r="Q861" s="3">
        <f>Table2[[#This Row],[Gross_Profit]]/Table2[[#This Row],[Sales_Amount]]</f>
        <v>-3.6713795217783822</v>
      </c>
      <c r="R861" t="str">
        <f>TEXT(Table2[[#This Row],[Sale_Date]],"mmmm")</f>
        <v>June</v>
      </c>
      <c r="S861" s="4">
        <f>YEAR(Table2[[#This Row],[Sale_Date]])</f>
        <v>2023</v>
      </c>
    </row>
    <row r="862" spans="1:19" x14ac:dyDescent="0.35">
      <c r="A862">
        <v>1051</v>
      </c>
      <c r="B862" s="1">
        <v>45245</v>
      </c>
      <c r="C862" t="s">
        <v>42</v>
      </c>
      <c r="D862" t="s">
        <v>15</v>
      </c>
      <c r="E862">
        <v>4703.59</v>
      </c>
      <c r="F862">
        <v>23</v>
      </c>
      <c r="G862" t="s">
        <v>35</v>
      </c>
      <c r="H862">
        <v>1676.42</v>
      </c>
      <c r="I862">
        <v>2082.52</v>
      </c>
      <c r="J862" t="s">
        <v>30</v>
      </c>
      <c r="K862">
        <v>0.15</v>
      </c>
      <c r="L862" t="s">
        <v>27</v>
      </c>
      <c r="M862" t="s">
        <v>22</v>
      </c>
      <c r="N862" t="s">
        <v>49</v>
      </c>
      <c r="O862">
        <f>Table2[[#This Row],[Unit_Cost]]*Table2[[#This Row],[Quantity_Sold]]</f>
        <v>38557.660000000003</v>
      </c>
      <c r="P862">
        <f t="shared" si="13"/>
        <v>-33854.070000000007</v>
      </c>
      <c r="Q862" s="3">
        <f>Table2[[#This Row],[Gross_Profit]]/Table2[[#This Row],[Sales_Amount]]</f>
        <v>-7.1974959552171862</v>
      </c>
      <c r="R862" t="str">
        <f>TEXT(Table2[[#This Row],[Sale_Date]],"mmmm")</f>
        <v>November</v>
      </c>
      <c r="S862" s="4">
        <f>YEAR(Table2[[#This Row],[Sale_Date]])</f>
        <v>2023</v>
      </c>
    </row>
    <row r="863" spans="1:19" x14ac:dyDescent="0.35">
      <c r="A863">
        <v>1038</v>
      </c>
      <c r="B863" s="1">
        <v>45140</v>
      </c>
      <c r="C863" t="s">
        <v>42</v>
      </c>
      <c r="D863" t="s">
        <v>34</v>
      </c>
      <c r="E863">
        <v>8489.14</v>
      </c>
      <c r="F863">
        <v>43</v>
      </c>
      <c r="G863" t="s">
        <v>16</v>
      </c>
      <c r="H863">
        <v>3031.17</v>
      </c>
      <c r="I863">
        <v>3231.32</v>
      </c>
      <c r="J863" t="s">
        <v>17</v>
      </c>
      <c r="K863">
        <v>0.22</v>
      </c>
      <c r="L863" t="s">
        <v>18</v>
      </c>
      <c r="M863" t="s">
        <v>22</v>
      </c>
      <c r="N863" t="s">
        <v>52</v>
      </c>
      <c r="O863">
        <f>Table2[[#This Row],[Unit_Cost]]*Table2[[#This Row],[Quantity_Sold]]</f>
        <v>130340.31</v>
      </c>
      <c r="P863">
        <f t="shared" si="13"/>
        <v>-121851.17</v>
      </c>
      <c r="Q863" s="3">
        <f>Table2[[#This Row],[Gross_Profit]]/Table2[[#This Row],[Sales_Amount]]</f>
        <v>-14.35377081777424</v>
      </c>
      <c r="R863" t="str">
        <f>TEXT(Table2[[#This Row],[Sale_Date]],"mmmm")</f>
        <v>August</v>
      </c>
      <c r="S863" s="4">
        <f>YEAR(Table2[[#This Row],[Sale_Date]])</f>
        <v>2023</v>
      </c>
    </row>
    <row r="864" spans="1:19" x14ac:dyDescent="0.35">
      <c r="A864">
        <v>1064</v>
      </c>
      <c r="B864" s="1">
        <v>45043</v>
      </c>
      <c r="C864" t="s">
        <v>14</v>
      </c>
      <c r="D864" t="s">
        <v>15</v>
      </c>
      <c r="E864">
        <v>717.7</v>
      </c>
      <c r="F864">
        <v>13</v>
      </c>
      <c r="G864" t="s">
        <v>29</v>
      </c>
      <c r="H864">
        <v>1645.51</v>
      </c>
      <c r="I864">
        <v>2045.53</v>
      </c>
      <c r="J864" t="s">
        <v>17</v>
      </c>
      <c r="K864">
        <v>0.28000000000000003</v>
      </c>
      <c r="L864" t="s">
        <v>18</v>
      </c>
      <c r="M864" t="s">
        <v>22</v>
      </c>
      <c r="N864" t="s">
        <v>20</v>
      </c>
      <c r="O864">
        <f>Table2[[#This Row],[Unit_Cost]]*Table2[[#This Row],[Quantity_Sold]]</f>
        <v>21391.63</v>
      </c>
      <c r="P864">
        <f t="shared" si="13"/>
        <v>-20673.93</v>
      </c>
      <c r="Q864" s="3">
        <f>Table2[[#This Row],[Gross_Profit]]/Table2[[#This Row],[Sales_Amount]]</f>
        <v>-28.805810227114392</v>
      </c>
      <c r="R864" t="str">
        <f>TEXT(Table2[[#This Row],[Sale_Date]],"mmmm")</f>
        <v>April</v>
      </c>
      <c r="S864" s="4">
        <f>YEAR(Table2[[#This Row],[Sale_Date]])</f>
        <v>2023</v>
      </c>
    </row>
    <row r="865" spans="1:19" x14ac:dyDescent="0.35">
      <c r="A865">
        <v>1098</v>
      </c>
      <c r="B865" s="1">
        <v>45270</v>
      </c>
      <c r="C865" t="s">
        <v>38</v>
      </c>
      <c r="D865" t="s">
        <v>34</v>
      </c>
      <c r="E865">
        <v>3419.26</v>
      </c>
      <c r="F865">
        <v>28</v>
      </c>
      <c r="G865" t="s">
        <v>35</v>
      </c>
      <c r="H865">
        <v>3895.62</v>
      </c>
      <c r="I865">
        <v>4055.44</v>
      </c>
      <c r="J865" t="s">
        <v>30</v>
      </c>
      <c r="K865">
        <v>0.03</v>
      </c>
      <c r="L865" t="s">
        <v>27</v>
      </c>
      <c r="M865" t="s">
        <v>22</v>
      </c>
      <c r="N865" t="s">
        <v>48</v>
      </c>
      <c r="O865">
        <f>Table2[[#This Row],[Unit_Cost]]*Table2[[#This Row],[Quantity_Sold]]</f>
        <v>109077.36</v>
      </c>
      <c r="P865">
        <f t="shared" si="13"/>
        <v>-105658.1</v>
      </c>
      <c r="Q865" s="3">
        <f>Table2[[#This Row],[Gross_Profit]]/Table2[[#This Row],[Sales_Amount]]</f>
        <v>-30.900867439153501</v>
      </c>
      <c r="R865" t="str">
        <f>TEXT(Table2[[#This Row],[Sale_Date]],"mmmm")</f>
        <v>December</v>
      </c>
      <c r="S865" s="4">
        <f>YEAR(Table2[[#This Row],[Sale_Date]])</f>
        <v>2023</v>
      </c>
    </row>
    <row r="866" spans="1:19" x14ac:dyDescent="0.35">
      <c r="A866">
        <v>1038</v>
      </c>
      <c r="B866" s="1">
        <v>44998</v>
      </c>
      <c r="C866" t="s">
        <v>24</v>
      </c>
      <c r="D866" t="s">
        <v>15</v>
      </c>
      <c r="E866">
        <v>763.46</v>
      </c>
      <c r="F866">
        <v>9</v>
      </c>
      <c r="G866" t="s">
        <v>29</v>
      </c>
      <c r="H866">
        <v>400.42</v>
      </c>
      <c r="I866">
        <v>446.11</v>
      </c>
      <c r="J866" t="s">
        <v>30</v>
      </c>
      <c r="K866">
        <v>0.01</v>
      </c>
      <c r="L866" t="s">
        <v>27</v>
      </c>
      <c r="M866" t="s">
        <v>22</v>
      </c>
      <c r="N866" t="s">
        <v>45</v>
      </c>
      <c r="O866">
        <f>Table2[[#This Row],[Unit_Cost]]*Table2[[#This Row],[Quantity_Sold]]</f>
        <v>3603.78</v>
      </c>
      <c r="P866">
        <f t="shared" si="13"/>
        <v>-2840.32</v>
      </c>
      <c r="Q866" s="3">
        <f>Table2[[#This Row],[Gross_Profit]]/Table2[[#This Row],[Sales_Amount]]</f>
        <v>-3.7203258847876772</v>
      </c>
      <c r="R866" t="str">
        <f>TEXT(Table2[[#This Row],[Sale_Date]],"mmmm")</f>
        <v>March</v>
      </c>
      <c r="S866" s="4">
        <f>YEAR(Table2[[#This Row],[Sale_Date]])</f>
        <v>2023</v>
      </c>
    </row>
    <row r="867" spans="1:19" x14ac:dyDescent="0.35">
      <c r="A867">
        <v>1050</v>
      </c>
      <c r="B867" s="1">
        <v>44990</v>
      </c>
      <c r="C867" t="s">
        <v>14</v>
      </c>
      <c r="D867" t="s">
        <v>15</v>
      </c>
      <c r="E867">
        <v>9755.9</v>
      </c>
      <c r="F867">
        <v>20</v>
      </c>
      <c r="G867" t="s">
        <v>35</v>
      </c>
      <c r="H867">
        <v>3318.92</v>
      </c>
      <c r="I867">
        <v>3785.91</v>
      </c>
      <c r="J867" t="s">
        <v>30</v>
      </c>
      <c r="K867">
        <v>0.24</v>
      </c>
      <c r="L867" t="s">
        <v>27</v>
      </c>
      <c r="M867" t="s">
        <v>19</v>
      </c>
      <c r="N867" t="s">
        <v>20</v>
      </c>
      <c r="O867">
        <f>Table2[[#This Row],[Unit_Cost]]*Table2[[#This Row],[Quantity_Sold]]</f>
        <v>66378.399999999994</v>
      </c>
      <c r="P867">
        <f t="shared" si="13"/>
        <v>-56622.499999999993</v>
      </c>
      <c r="Q867" s="3">
        <f>Table2[[#This Row],[Gross_Profit]]/Table2[[#This Row],[Sales_Amount]]</f>
        <v>-5.8039237794565333</v>
      </c>
      <c r="R867" t="str">
        <f>TEXT(Table2[[#This Row],[Sale_Date]],"mmmm")</f>
        <v>March</v>
      </c>
      <c r="S867" s="4">
        <f>YEAR(Table2[[#This Row],[Sale_Date]])</f>
        <v>2023</v>
      </c>
    </row>
    <row r="868" spans="1:19" x14ac:dyDescent="0.35">
      <c r="A868">
        <v>1098</v>
      </c>
      <c r="B868" s="1">
        <v>45131</v>
      </c>
      <c r="C868" t="s">
        <v>42</v>
      </c>
      <c r="D868" t="s">
        <v>25</v>
      </c>
      <c r="E868">
        <v>8188.04</v>
      </c>
      <c r="F868">
        <v>19</v>
      </c>
      <c r="G868" t="s">
        <v>35</v>
      </c>
      <c r="H868">
        <v>4055.51</v>
      </c>
      <c r="I868">
        <v>4258.84</v>
      </c>
      <c r="J868" t="s">
        <v>17</v>
      </c>
      <c r="K868">
        <v>0.03</v>
      </c>
      <c r="L868" t="s">
        <v>31</v>
      </c>
      <c r="M868" t="s">
        <v>19</v>
      </c>
      <c r="N868" t="s">
        <v>43</v>
      </c>
      <c r="O868">
        <f>Table2[[#This Row],[Unit_Cost]]*Table2[[#This Row],[Quantity_Sold]]</f>
        <v>77054.69</v>
      </c>
      <c r="P868">
        <f t="shared" si="13"/>
        <v>-68866.650000000009</v>
      </c>
      <c r="Q868" s="3">
        <f>Table2[[#This Row],[Gross_Profit]]/Table2[[#This Row],[Sales_Amount]]</f>
        <v>-8.4106391761642598</v>
      </c>
      <c r="R868" t="str">
        <f>TEXT(Table2[[#This Row],[Sale_Date]],"mmmm")</f>
        <v>July</v>
      </c>
      <c r="S868" s="4">
        <f>YEAR(Table2[[#This Row],[Sale_Date]])</f>
        <v>2023</v>
      </c>
    </row>
    <row r="869" spans="1:19" x14ac:dyDescent="0.35">
      <c r="A869">
        <v>1082</v>
      </c>
      <c r="B869" s="1">
        <v>45135</v>
      </c>
      <c r="C869" t="s">
        <v>42</v>
      </c>
      <c r="D869" t="s">
        <v>34</v>
      </c>
      <c r="E869">
        <v>8540.2199999999993</v>
      </c>
      <c r="F869">
        <v>48</v>
      </c>
      <c r="G869" t="s">
        <v>26</v>
      </c>
      <c r="H869">
        <v>3380.52</v>
      </c>
      <c r="I869">
        <v>3778.94</v>
      </c>
      <c r="J869" t="s">
        <v>17</v>
      </c>
      <c r="K869">
        <v>0.3</v>
      </c>
      <c r="L869" t="s">
        <v>27</v>
      </c>
      <c r="M869" t="s">
        <v>19</v>
      </c>
      <c r="N869" t="s">
        <v>52</v>
      </c>
      <c r="O869">
        <f>Table2[[#This Row],[Unit_Cost]]*Table2[[#This Row],[Quantity_Sold]]</f>
        <v>162264.95999999999</v>
      </c>
      <c r="P869">
        <f t="shared" si="13"/>
        <v>-153724.74</v>
      </c>
      <c r="Q869" s="3">
        <f>Table2[[#This Row],[Gross_Profit]]/Table2[[#This Row],[Sales_Amount]]</f>
        <v>-18.000091332541786</v>
      </c>
      <c r="R869" t="str">
        <f>TEXT(Table2[[#This Row],[Sale_Date]],"mmmm")</f>
        <v>July</v>
      </c>
      <c r="S869" s="4">
        <f>YEAR(Table2[[#This Row],[Sale_Date]])</f>
        <v>2023</v>
      </c>
    </row>
    <row r="870" spans="1:19" x14ac:dyDescent="0.35">
      <c r="A870">
        <v>1030</v>
      </c>
      <c r="B870" s="1">
        <v>44998</v>
      </c>
      <c r="C870" t="s">
        <v>42</v>
      </c>
      <c r="D870" t="s">
        <v>15</v>
      </c>
      <c r="E870">
        <v>9385.86</v>
      </c>
      <c r="F870">
        <v>39</v>
      </c>
      <c r="G870" t="s">
        <v>26</v>
      </c>
      <c r="H870">
        <v>2511.2800000000002</v>
      </c>
      <c r="I870">
        <v>2658.06</v>
      </c>
      <c r="J870" t="s">
        <v>30</v>
      </c>
      <c r="K870">
        <v>0.19</v>
      </c>
      <c r="L870" t="s">
        <v>31</v>
      </c>
      <c r="M870" t="s">
        <v>22</v>
      </c>
      <c r="N870" t="s">
        <v>49</v>
      </c>
      <c r="O870">
        <f>Table2[[#This Row],[Unit_Cost]]*Table2[[#This Row],[Quantity_Sold]]</f>
        <v>97939.920000000013</v>
      </c>
      <c r="P870">
        <f t="shared" si="13"/>
        <v>-88554.060000000012</v>
      </c>
      <c r="Q870" s="3">
        <f>Table2[[#This Row],[Gross_Profit]]/Table2[[#This Row],[Sales_Amount]]</f>
        <v>-9.4348370847210603</v>
      </c>
      <c r="R870" t="str">
        <f>TEXT(Table2[[#This Row],[Sale_Date]],"mmmm")</f>
        <v>March</v>
      </c>
      <c r="S870" s="4">
        <f>YEAR(Table2[[#This Row],[Sale_Date]])</f>
        <v>2023</v>
      </c>
    </row>
    <row r="871" spans="1:19" x14ac:dyDescent="0.35">
      <c r="A871">
        <v>1079</v>
      </c>
      <c r="B871" s="1">
        <v>45203</v>
      </c>
      <c r="C871" t="s">
        <v>38</v>
      </c>
      <c r="D871" t="s">
        <v>34</v>
      </c>
      <c r="E871">
        <v>942.52</v>
      </c>
      <c r="F871">
        <v>12</v>
      </c>
      <c r="G871" t="s">
        <v>26</v>
      </c>
      <c r="H871">
        <v>4754.0200000000004</v>
      </c>
      <c r="I871">
        <v>5080.74</v>
      </c>
      <c r="J871" t="s">
        <v>30</v>
      </c>
      <c r="K871">
        <v>0.2</v>
      </c>
      <c r="L871" t="s">
        <v>18</v>
      </c>
      <c r="M871" t="s">
        <v>19</v>
      </c>
      <c r="N871" t="s">
        <v>48</v>
      </c>
      <c r="O871">
        <f>Table2[[#This Row],[Unit_Cost]]*Table2[[#This Row],[Quantity_Sold]]</f>
        <v>57048.240000000005</v>
      </c>
      <c r="P871">
        <f t="shared" si="13"/>
        <v>-56105.720000000008</v>
      </c>
      <c r="Q871" s="3">
        <f>Table2[[#This Row],[Gross_Profit]]/Table2[[#This Row],[Sales_Amount]]</f>
        <v>-59.527352204727762</v>
      </c>
      <c r="R871" t="str">
        <f>TEXT(Table2[[#This Row],[Sale_Date]],"mmmm")</f>
        <v>October</v>
      </c>
      <c r="S871" s="4">
        <f>YEAR(Table2[[#This Row],[Sale_Date]])</f>
        <v>2023</v>
      </c>
    </row>
    <row r="872" spans="1:19" x14ac:dyDescent="0.35">
      <c r="A872">
        <v>1091</v>
      </c>
      <c r="B872" s="1">
        <v>45200</v>
      </c>
      <c r="C872" t="s">
        <v>38</v>
      </c>
      <c r="D872" t="s">
        <v>34</v>
      </c>
      <c r="E872">
        <v>3917.42</v>
      </c>
      <c r="F872">
        <v>15</v>
      </c>
      <c r="G872" t="s">
        <v>35</v>
      </c>
      <c r="H872">
        <v>1534.7</v>
      </c>
      <c r="I872">
        <v>1972.62</v>
      </c>
      <c r="J872" t="s">
        <v>17</v>
      </c>
      <c r="K872">
        <v>0.06</v>
      </c>
      <c r="L872" t="s">
        <v>31</v>
      </c>
      <c r="M872" t="s">
        <v>22</v>
      </c>
      <c r="N872" t="s">
        <v>48</v>
      </c>
      <c r="O872">
        <f>Table2[[#This Row],[Unit_Cost]]*Table2[[#This Row],[Quantity_Sold]]</f>
        <v>23020.5</v>
      </c>
      <c r="P872">
        <f t="shared" si="13"/>
        <v>-19103.080000000002</v>
      </c>
      <c r="Q872" s="3">
        <f>Table2[[#This Row],[Gross_Profit]]/Table2[[#This Row],[Sales_Amount]]</f>
        <v>-4.876444190308928</v>
      </c>
      <c r="R872" t="str">
        <f>TEXT(Table2[[#This Row],[Sale_Date]],"mmmm")</f>
        <v>October</v>
      </c>
      <c r="S872" s="4">
        <f>YEAR(Table2[[#This Row],[Sale_Date]])</f>
        <v>2023</v>
      </c>
    </row>
    <row r="873" spans="1:19" x14ac:dyDescent="0.35">
      <c r="A873">
        <v>1051</v>
      </c>
      <c r="B873" s="1">
        <v>45246</v>
      </c>
      <c r="C873" t="s">
        <v>14</v>
      </c>
      <c r="D873" t="s">
        <v>21</v>
      </c>
      <c r="E873">
        <v>803.25</v>
      </c>
      <c r="F873">
        <v>31</v>
      </c>
      <c r="G873" t="s">
        <v>16</v>
      </c>
      <c r="H873">
        <v>144.88</v>
      </c>
      <c r="I873">
        <v>175.29</v>
      </c>
      <c r="J873" t="s">
        <v>30</v>
      </c>
      <c r="K873">
        <v>7.0000000000000007E-2</v>
      </c>
      <c r="L873" t="s">
        <v>27</v>
      </c>
      <c r="M873" t="s">
        <v>19</v>
      </c>
      <c r="N873" t="s">
        <v>23</v>
      </c>
      <c r="O873">
        <f>Table2[[#This Row],[Unit_Cost]]*Table2[[#This Row],[Quantity_Sold]]</f>
        <v>4491.28</v>
      </c>
      <c r="P873">
        <f t="shared" si="13"/>
        <v>-3688.0299999999997</v>
      </c>
      <c r="Q873" s="3">
        <f>Table2[[#This Row],[Gross_Profit]]/Table2[[#This Row],[Sales_Amount]]</f>
        <v>-4.5913849984438215</v>
      </c>
      <c r="R873" t="str">
        <f>TEXT(Table2[[#This Row],[Sale_Date]],"mmmm")</f>
        <v>November</v>
      </c>
      <c r="S873" s="4">
        <f>YEAR(Table2[[#This Row],[Sale_Date]])</f>
        <v>2023</v>
      </c>
    </row>
    <row r="874" spans="1:19" x14ac:dyDescent="0.35">
      <c r="A874">
        <v>1063</v>
      </c>
      <c r="B874" s="1">
        <v>45264</v>
      </c>
      <c r="C874" t="s">
        <v>24</v>
      </c>
      <c r="D874" t="s">
        <v>25</v>
      </c>
      <c r="E874">
        <v>2186.85</v>
      </c>
      <c r="F874">
        <v>14</v>
      </c>
      <c r="G874" t="s">
        <v>29</v>
      </c>
      <c r="H874">
        <v>2188.35</v>
      </c>
      <c r="I874">
        <v>2605.3599999999901</v>
      </c>
      <c r="J874" t="s">
        <v>17</v>
      </c>
      <c r="K874">
        <v>0.2</v>
      </c>
      <c r="L874" t="s">
        <v>31</v>
      </c>
      <c r="M874" t="s">
        <v>22</v>
      </c>
      <c r="N874" t="s">
        <v>28</v>
      </c>
      <c r="O874">
        <f>Table2[[#This Row],[Unit_Cost]]*Table2[[#This Row],[Quantity_Sold]]</f>
        <v>30636.899999999998</v>
      </c>
      <c r="P874">
        <f t="shared" si="13"/>
        <v>-28450.05</v>
      </c>
      <c r="Q874" s="3">
        <f>Table2[[#This Row],[Gross_Profit]]/Table2[[#This Row],[Sales_Amount]]</f>
        <v>-13.009602853419302</v>
      </c>
      <c r="R874" t="str">
        <f>TEXT(Table2[[#This Row],[Sale_Date]],"mmmm")</f>
        <v>December</v>
      </c>
      <c r="S874" s="4">
        <f>YEAR(Table2[[#This Row],[Sale_Date]])</f>
        <v>2023</v>
      </c>
    </row>
    <row r="875" spans="1:19" x14ac:dyDescent="0.35">
      <c r="A875">
        <v>1098</v>
      </c>
      <c r="B875" s="1">
        <v>45292</v>
      </c>
      <c r="C875" t="s">
        <v>14</v>
      </c>
      <c r="D875" t="s">
        <v>25</v>
      </c>
      <c r="E875">
        <v>2370.7199999999998</v>
      </c>
      <c r="F875">
        <v>11</v>
      </c>
      <c r="G875" t="s">
        <v>29</v>
      </c>
      <c r="H875">
        <v>213.41</v>
      </c>
      <c r="I875">
        <v>503.36</v>
      </c>
      <c r="J875" t="s">
        <v>17</v>
      </c>
      <c r="K875">
        <v>0.27</v>
      </c>
      <c r="L875" t="s">
        <v>27</v>
      </c>
      <c r="M875" t="s">
        <v>19</v>
      </c>
      <c r="N875" t="s">
        <v>32</v>
      </c>
      <c r="O875">
        <f>Table2[[#This Row],[Unit_Cost]]*Table2[[#This Row],[Quantity_Sold]]</f>
        <v>2347.5099999999998</v>
      </c>
      <c r="P875">
        <f t="shared" si="13"/>
        <v>23.210000000000036</v>
      </c>
      <c r="Q875" s="3">
        <f>Table2[[#This Row],[Gross_Profit]]/Table2[[#This Row],[Sales_Amount]]</f>
        <v>9.7902746844840544E-3</v>
      </c>
      <c r="R875" t="str">
        <f>TEXT(Table2[[#This Row],[Sale_Date]],"mmmm")</f>
        <v>January</v>
      </c>
      <c r="S875" s="4">
        <f>YEAR(Table2[[#This Row],[Sale_Date]])</f>
        <v>2024</v>
      </c>
    </row>
    <row r="876" spans="1:19" x14ac:dyDescent="0.3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c r="O876">
        <f>Table2[[#This Row],[Unit_Cost]]*Table2[[#This Row],[Quantity_Sold]]</f>
        <v>124071.73999999999</v>
      </c>
      <c r="P876">
        <f t="shared" si="13"/>
        <v>-119327.57999999999</v>
      </c>
      <c r="Q876" s="3">
        <f>Table2[[#This Row],[Gross_Profit]]/Table2[[#This Row],[Sales_Amount]]</f>
        <v>-25.152520151091025</v>
      </c>
      <c r="R876" t="str">
        <f>TEXT(Table2[[#This Row],[Sale_Date]],"mmmm")</f>
        <v>April</v>
      </c>
      <c r="S876" s="4">
        <f>YEAR(Table2[[#This Row],[Sale_Date]])</f>
        <v>2023</v>
      </c>
    </row>
    <row r="877" spans="1:19" x14ac:dyDescent="0.35">
      <c r="A877">
        <v>1038</v>
      </c>
      <c r="B877" s="1">
        <v>45092</v>
      </c>
      <c r="C877" t="s">
        <v>42</v>
      </c>
      <c r="D877" t="s">
        <v>21</v>
      </c>
      <c r="E877">
        <v>2758.77</v>
      </c>
      <c r="F877">
        <v>42</v>
      </c>
      <c r="G877" t="s">
        <v>26</v>
      </c>
      <c r="H877">
        <v>1089.0899999999999</v>
      </c>
      <c r="I877">
        <v>1355.44</v>
      </c>
      <c r="J877" t="s">
        <v>30</v>
      </c>
      <c r="K877">
        <v>0.06</v>
      </c>
      <c r="L877" t="s">
        <v>18</v>
      </c>
      <c r="M877" t="s">
        <v>22</v>
      </c>
      <c r="N877" t="s">
        <v>51</v>
      </c>
      <c r="O877">
        <f>Table2[[#This Row],[Unit_Cost]]*Table2[[#This Row],[Quantity_Sold]]</f>
        <v>45741.78</v>
      </c>
      <c r="P877">
        <f t="shared" si="13"/>
        <v>-42983.01</v>
      </c>
      <c r="Q877" s="3">
        <f>Table2[[#This Row],[Gross_Profit]]/Table2[[#This Row],[Sales_Amount]]</f>
        <v>-15.580497830554922</v>
      </c>
      <c r="R877" t="str">
        <f>TEXT(Table2[[#This Row],[Sale_Date]],"mmmm")</f>
        <v>June</v>
      </c>
      <c r="S877" s="4">
        <f>YEAR(Table2[[#This Row],[Sale_Date]])</f>
        <v>2023</v>
      </c>
    </row>
    <row r="878" spans="1:19" x14ac:dyDescent="0.35">
      <c r="A878">
        <v>1097</v>
      </c>
      <c r="B878" s="1">
        <v>44958</v>
      </c>
      <c r="C878" t="s">
        <v>42</v>
      </c>
      <c r="D878" t="s">
        <v>21</v>
      </c>
      <c r="E878">
        <v>1099.68</v>
      </c>
      <c r="F878">
        <v>27</v>
      </c>
      <c r="G878" t="s">
        <v>35</v>
      </c>
      <c r="H878">
        <v>3955.19</v>
      </c>
      <c r="I878">
        <v>4393.68</v>
      </c>
      <c r="J878" t="s">
        <v>17</v>
      </c>
      <c r="K878">
        <v>0.04</v>
      </c>
      <c r="L878" t="s">
        <v>31</v>
      </c>
      <c r="M878" t="s">
        <v>19</v>
      </c>
      <c r="N878" t="s">
        <v>51</v>
      </c>
      <c r="O878">
        <f>Table2[[#This Row],[Unit_Cost]]*Table2[[#This Row],[Quantity_Sold]]</f>
        <v>106790.13</v>
      </c>
      <c r="P878">
        <f t="shared" si="13"/>
        <v>-105690.45000000001</v>
      </c>
      <c r="Q878" s="3">
        <f>Table2[[#This Row],[Gross_Profit]]/Table2[[#This Row],[Sales_Amount]]</f>
        <v>-96.110186599738114</v>
      </c>
      <c r="R878" t="str">
        <f>TEXT(Table2[[#This Row],[Sale_Date]],"mmmm")</f>
        <v>February</v>
      </c>
      <c r="S878" s="4">
        <f>YEAR(Table2[[#This Row],[Sale_Date]])</f>
        <v>2023</v>
      </c>
    </row>
    <row r="879" spans="1:19" x14ac:dyDescent="0.35">
      <c r="A879">
        <v>1088</v>
      </c>
      <c r="B879" s="1">
        <v>44937</v>
      </c>
      <c r="C879" t="s">
        <v>42</v>
      </c>
      <c r="D879" t="s">
        <v>25</v>
      </c>
      <c r="E879">
        <v>1758.16</v>
      </c>
      <c r="F879">
        <v>11</v>
      </c>
      <c r="G879" t="s">
        <v>26</v>
      </c>
      <c r="H879">
        <v>3884.13</v>
      </c>
      <c r="I879">
        <v>3915.41</v>
      </c>
      <c r="J879" t="s">
        <v>17</v>
      </c>
      <c r="K879">
        <v>0.02</v>
      </c>
      <c r="L879" t="s">
        <v>18</v>
      </c>
      <c r="M879" t="s">
        <v>19</v>
      </c>
      <c r="N879" t="s">
        <v>43</v>
      </c>
      <c r="O879">
        <f>Table2[[#This Row],[Unit_Cost]]*Table2[[#This Row],[Quantity_Sold]]</f>
        <v>42725.43</v>
      </c>
      <c r="P879">
        <f t="shared" si="13"/>
        <v>-40967.269999999997</v>
      </c>
      <c r="Q879" s="3">
        <f>Table2[[#This Row],[Gross_Profit]]/Table2[[#This Row],[Sales_Amount]]</f>
        <v>-23.301218319151836</v>
      </c>
      <c r="R879" t="str">
        <f>TEXT(Table2[[#This Row],[Sale_Date]],"mmmm")</f>
        <v>January</v>
      </c>
      <c r="S879" s="4">
        <f>YEAR(Table2[[#This Row],[Sale_Date]])</f>
        <v>2023</v>
      </c>
    </row>
    <row r="880" spans="1:19" x14ac:dyDescent="0.35">
      <c r="A880">
        <v>1079</v>
      </c>
      <c r="B880" s="1">
        <v>45227</v>
      </c>
      <c r="C880" t="s">
        <v>14</v>
      </c>
      <c r="D880" t="s">
        <v>21</v>
      </c>
      <c r="E880">
        <v>1558.03</v>
      </c>
      <c r="F880">
        <v>38</v>
      </c>
      <c r="G880" t="s">
        <v>16</v>
      </c>
      <c r="H880">
        <v>1127.76</v>
      </c>
      <c r="I880">
        <v>1265.6600000000001</v>
      </c>
      <c r="J880" t="s">
        <v>17</v>
      </c>
      <c r="K880">
        <v>0.26</v>
      </c>
      <c r="L880" t="s">
        <v>27</v>
      </c>
      <c r="M880" t="s">
        <v>22</v>
      </c>
      <c r="N880" t="s">
        <v>23</v>
      </c>
      <c r="O880">
        <f>Table2[[#This Row],[Unit_Cost]]*Table2[[#This Row],[Quantity_Sold]]</f>
        <v>42854.879999999997</v>
      </c>
      <c r="P880">
        <f t="shared" si="13"/>
        <v>-41296.85</v>
      </c>
      <c r="Q880" s="3">
        <f>Table2[[#This Row],[Gross_Profit]]/Table2[[#This Row],[Sales_Amount]]</f>
        <v>-26.505811826473174</v>
      </c>
      <c r="R880" t="str">
        <f>TEXT(Table2[[#This Row],[Sale_Date]],"mmmm")</f>
        <v>October</v>
      </c>
      <c r="S880" s="4">
        <f>YEAR(Table2[[#This Row],[Sale_Date]])</f>
        <v>2023</v>
      </c>
    </row>
    <row r="881" spans="1:19" x14ac:dyDescent="0.35">
      <c r="A881">
        <v>1030</v>
      </c>
      <c r="B881" s="1">
        <v>45143</v>
      </c>
      <c r="C881" t="s">
        <v>14</v>
      </c>
      <c r="D881" t="s">
        <v>21</v>
      </c>
      <c r="E881">
        <v>9733.4599999999991</v>
      </c>
      <c r="F881">
        <v>34</v>
      </c>
      <c r="G881" t="s">
        <v>35</v>
      </c>
      <c r="H881">
        <v>3125.07</v>
      </c>
      <c r="I881">
        <v>3564.19</v>
      </c>
      <c r="J881" t="s">
        <v>17</v>
      </c>
      <c r="K881">
        <v>0.09</v>
      </c>
      <c r="L881" t="s">
        <v>18</v>
      </c>
      <c r="M881" t="s">
        <v>19</v>
      </c>
      <c r="N881" t="s">
        <v>23</v>
      </c>
      <c r="O881">
        <f>Table2[[#This Row],[Unit_Cost]]*Table2[[#This Row],[Quantity_Sold]]</f>
        <v>106252.38</v>
      </c>
      <c r="P881">
        <f t="shared" si="13"/>
        <v>-96518.920000000013</v>
      </c>
      <c r="Q881" s="3">
        <f>Table2[[#This Row],[Gross_Profit]]/Table2[[#This Row],[Sales_Amount]]</f>
        <v>-9.9161983508433824</v>
      </c>
      <c r="R881" t="str">
        <f>TEXT(Table2[[#This Row],[Sale_Date]],"mmmm")</f>
        <v>August</v>
      </c>
      <c r="S881" s="4">
        <f>YEAR(Table2[[#This Row],[Sale_Date]])</f>
        <v>2023</v>
      </c>
    </row>
    <row r="882" spans="1:19" x14ac:dyDescent="0.35">
      <c r="A882">
        <v>1051</v>
      </c>
      <c r="B882" s="1">
        <v>45215</v>
      </c>
      <c r="C882" t="s">
        <v>42</v>
      </c>
      <c r="D882" t="s">
        <v>21</v>
      </c>
      <c r="E882">
        <v>7617</v>
      </c>
      <c r="F882">
        <v>43</v>
      </c>
      <c r="G882" t="s">
        <v>29</v>
      </c>
      <c r="H882">
        <v>287.99</v>
      </c>
      <c r="I882">
        <v>666.64</v>
      </c>
      <c r="J882" t="s">
        <v>17</v>
      </c>
      <c r="K882">
        <v>0</v>
      </c>
      <c r="L882" t="s">
        <v>27</v>
      </c>
      <c r="M882" t="s">
        <v>19</v>
      </c>
      <c r="N882" t="s">
        <v>51</v>
      </c>
      <c r="O882">
        <f>Table2[[#This Row],[Unit_Cost]]*Table2[[#This Row],[Quantity_Sold]]</f>
        <v>12383.57</v>
      </c>
      <c r="P882">
        <f t="shared" si="13"/>
        <v>-4766.57</v>
      </c>
      <c r="Q882" s="3">
        <f>Table2[[#This Row],[Gross_Profit]]/Table2[[#This Row],[Sales_Amount]]</f>
        <v>-0.6257804910069581</v>
      </c>
      <c r="R882" t="str">
        <f>TEXT(Table2[[#This Row],[Sale_Date]],"mmmm")</f>
        <v>October</v>
      </c>
      <c r="S882" s="4">
        <f>YEAR(Table2[[#This Row],[Sale_Date]])</f>
        <v>2023</v>
      </c>
    </row>
    <row r="883" spans="1:19" x14ac:dyDescent="0.35">
      <c r="A883">
        <v>1081</v>
      </c>
      <c r="B883" s="1">
        <v>45028</v>
      </c>
      <c r="C883" t="s">
        <v>14</v>
      </c>
      <c r="D883" t="s">
        <v>25</v>
      </c>
      <c r="E883">
        <v>9680.84</v>
      </c>
      <c r="F883">
        <v>19</v>
      </c>
      <c r="G883" t="s">
        <v>26</v>
      </c>
      <c r="H883">
        <v>2443.69</v>
      </c>
      <c r="I883">
        <v>2462.34</v>
      </c>
      <c r="J883" t="s">
        <v>30</v>
      </c>
      <c r="K883">
        <v>7.0000000000000007E-2</v>
      </c>
      <c r="L883" t="s">
        <v>27</v>
      </c>
      <c r="M883" t="s">
        <v>22</v>
      </c>
      <c r="N883" t="s">
        <v>32</v>
      </c>
      <c r="O883">
        <f>Table2[[#This Row],[Unit_Cost]]*Table2[[#This Row],[Quantity_Sold]]</f>
        <v>46430.11</v>
      </c>
      <c r="P883">
        <f t="shared" si="13"/>
        <v>-36749.270000000004</v>
      </c>
      <c r="Q883" s="3">
        <f>Table2[[#This Row],[Gross_Profit]]/Table2[[#This Row],[Sales_Amount]]</f>
        <v>-3.7960827779407578</v>
      </c>
      <c r="R883" t="str">
        <f>TEXT(Table2[[#This Row],[Sale_Date]],"mmmm")</f>
        <v>April</v>
      </c>
      <c r="S883" s="4">
        <f>YEAR(Table2[[#This Row],[Sale_Date]])</f>
        <v>2023</v>
      </c>
    </row>
    <row r="884" spans="1:19" x14ac:dyDescent="0.35">
      <c r="A884">
        <v>1005</v>
      </c>
      <c r="B884" s="1">
        <v>45193</v>
      </c>
      <c r="C884" t="s">
        <v>38</v>
      </c>
      <c r="D884" t="s">
        <v>25</v>
      </c>
      <c r="E884">
        <v>4453.43</v>
      </c>
      <c r="F884">
        <v>6</v>
      </c>
      <c r="G884" t="s">
        <v>26</v>
      </c>
      <c r="H884">
        <v>122.5</v>
      </c>
      <c r="I884">
        <v>385.83</v>
      </c>
      <c r="J884" t="s">
        <v>17</v>
      </c>
      <c r="K884">
        <v>0.1</v>
      </c>
      <c r="L884" t="s">
        <v>18</v>
      </c>
      <c r="M884" t="s">
        <v>22</v>
      </c>
      <c r="N884" t="s">
        <v>39</v>
      </c>
      <c r="O884">
        <f>Table2[[#This Row],[Unit_Cost]]*Table2[[#This Row],[Quantity_Sold]]</f>
        <v>735</v>
      </c>
      <c r="P884">
        <f t="shared" si="13"/>
        <v>3718.4300000000003</v>
      </c>
      <c r="Q884" s="3">
        <f>Table2[[#This Row],[Gross_Profit]]/Table2[[#This Row],[Sales_Amount]]</f>
        <v>0.8349586723042689</v>
      </c>
      <c r="R884" t="str">
        <f>TEXT(Table2[[#This Row],[Sale_Date]],"mmmm")</f>
        <v>September</v>
      </c>
      <c r="S884" s="4">
        <f>YEAR(Table2[[#This Row],[Sale_Date]])</f>
        <v>2023</v>
      </c>
    </row>
    <row r="885" spans="1:19" x14ac:dyDescent="0.35">
      <c r="A885">
        <v>1029</v>
      </c>
      <c r="B885" s="1">
        <v>45140</v>
      </c>
      <c r="C885" t="s">
        <v>38</v>
      </c>
      <c r="D885" t="s">
        <v>25</v>
      </c>
      <c r="E885">
        <v>2855.85</v>
      </c>
      <c r="F885">
        <v>46</v>
      </c>
      <c r="G885" t="s">
        <v>16</v>
      </c>
      <c r="H885">
        <v>4609.66</v>
      </c>
      <c r="I885">
        <v>4879.1499999999996</v>
      </c>
      <c r="J885" t="s">
        <v>17</v>
      </c>
      <c r="K885">
        <v>0.3</v>
      </c>
      <c r="L885" t="s">
        <v>18</v>
      </c>
      <c r="M885" t="s">
        <v>22</v>
      </c>
      <c r="N885" t="s">
        <v>39</v>
      </c>
      <c r="O885">
        <f>Table2[[#This Row],[Unit_Cost]]*Table2[[#This Row],[Quantity_Sold]]</f>
        <v>212044.36</v>
      </c>
      <c r="P885">
        <f t="shared" si="13"/>
        <v>-209188.50999999998</v>
      </c>
      <c r="Q885" s="3">
        <f>Table2[[#This Row],[Gross_Profit]]/Table2[[#This Row],[Sales_Amount]]</f>
        <v>-73.249123728487135</v>
      </c>
      <c r="R885" t="str">
        <f>TEXT(Table2[[#This Row],[Sale_Date]],"mmmm")</f>
        <v>August</v>
      </c>
      <c r="S885" s="4">
        <f>YEAR(Table2[[#This Row],[Sale_Date]])</f>
        <v>2023</v>
      </c>
    </row>
    <row r="886" spans="1:19" x14ac:dyDescent="0.35">
      <c r="A886">
        <v>1004</v>
      </c>
      <c r="B886" s="1">
        <v>45105</v>
      </c>
      <c r="C886" t="s">
        <v>14</v>
      </c>
      <c r="D886" t="s">
        <v>21</v>
      </c>
      <c r="E886">
        <v>8003.1</v>
      </c>
      <c r="F886">
        <v>38</v>
      </c>
      <c r="G886" t="s">
        <v>16</v>
      </c>
      <c r="H886">
        <v>4881.63</v>
      </c>
      <c r="I886">
        <v>5088.0600000000004</v>
      </c>
      <c r="J886" t="s">
        <v>17</v>
      </c>
      <c r="K886">
        <v>0.16</v>
      </c>
      <c r="L886" t="s">
        <v>31</v>
      </c>
      <c r="M886" t="s">
        <v>22</v>
      </c>
      <c r="N886" t="s">
        <v>23</v>
      </c>
      <c r="O886">
        <f>Table2[[#This Row],[Unit_Cost]]*Table2[[#This Row],[Quantity_Sold]]</f>
        <v>185501.94</v>
      </c>
      <c r="P886">
        <f t="shared" si="13"/>
        <v>-177498.84</v>
      </c>
      <c r="Q886" s="3">
        <f>Table2[[#This Row],[Gross_Profit]]/Table2[[#This Row],[Sales_Amount]]</f>
        <v>-22.178760730217039</v>
      </c>
      <c r="R886" t="str">
        <f>TEXT(Table2[[#This Row],[Sale_Date]],"mmmm")</f>
        <v>June</v>
      </c>
      <c r="S886" s="4">
        <f>YEAR(Table2[[#This Row],[Sale_Date]])</f>
        <v>2023</v>
      </c>
    </row>
    <row r="887" spans="1:19" x14ac:dyDescent="0.35">
      <c r="A887">
        <v>1010</v>
      </c>
      <c r="B887" s="1">
        <v>45014</v>
      </c>
      <c r="C887" t="s">
        <v>42</v>
      </c>
      <c r="D887" t="s">
        <v>25</v>
      </c>
      <c r="E887">
        <v>3329.91</v>
      </c>
      <c r="F887">
        <v>49</v>
      </c>
      <c r="G887" t="s">
        <v>26</v>
      </c>
      <c r="H887">
        <v>1150.3</v>
      </c>
      <c r="I887">
        <v>1306.02</v>
      </c>
      <c r="J887" t="s">
        <v>30</v>
      </c>
      <c r="K887">
        <v>0.06</v>
      </c>
      <c r="L887" t="s">
        <v>31</v>
      </c>
      <c r="M887" t="s">
        <v>22</v>
      </c>
      <c r="N887" t="s">
        <v>43</v>
      </c>
      <c r="O887">
        <f>Table2[[#This Row],[Unit_Cost]]*Table2[[#This Row],[Quantity_Sold]]</f>
        <v>56364.7</v>
      </c>
      <c r="P887">
        <f t="shared" si="13"/>
        <v>-53034.789999999994</v>
      </c>
      <c r="Q887" s="3">
        <f>Table2[[#This Row],[Gross_Profit]]/Table2[[#This Row],[Sales_Amount]]</f>
        <v>-15.926793817250315</v>
      </c>
      <c r="R887" t="str">
        <f>TEXT(Table2[[#This Row],[Sale_Date]],"mmmm")</f>
        <v>March</v>
      </c>
      <c r="S887" s="4">
        <f>YEAR(Table2[[#This Row],[Sale_Date]])</f>
        <v>2023</v>
      </c>
    </row>
    <row r="888" spans="1:19" x14ac:dyDescent="0.35">
      <c r="A888">
        <v>1056</v>
      </c>
      <c r="B888" s="1">
        <v>44967</v>
      </c>
      <c r="C888" t="s">
        <v>14</v>
      </c>
      <c r="D888" t="s">
        <v>21</v>
      </c>
      <c r="E888">
        <v>3063.9</v>
      </c>
      <c r="F888">
        <v>42</v>
      </c>
      <c r="G888" t="s">
        <v>16</v>
      </c>
      <c r="H888">
        <v>1080.1199999999999</v>
      </c>
      <c r="I888">
        <v>1424.1699999999901</v>
      </c>
      <c r="J888" t="s">
        <v>30</v>
      </c>
      <c r="K888">
        <v>0.1</v>
      </c>
      <c r="L888" t="s">
        <v>18</v>
      </c>
      <c r="M888" t="s">
        <v>19</v>
      </c>
      <c r="N888" t="s">
        <v>23</v>
      </c>
      <c r="O888">
        <f>Table2[[#This Row],[Unit_Cost]]*Table2[[#This Row],[Quantity_Sold]]</f>
        <v>45365.039999999994</v>
      </c>
      <c r="P888">
        <f t="shared" si="13"/>
        <v>-42301.139999999992</v>
      </c>
      <c r="Q888" s="3">
        <f>Table2[[#This Row],[Gross_Profit]]/Table2[[#This Row],[Sales_Amount]]</f>
        <v>-13.806305688827962</v>
      </c>
      <c r="R888" t="str">
        <f>TEXT(Table2[[#This Row],[Sale_Date]],"mmmm")</f>
        <v>February</v>
      </c>
      <c r="S888" s="4">
        <f>YEAR(Table2[[#This Row],[Sale_Date]])</f>
        <v>2023</v>
      </c>
    </row>
    <row r="889" spans="1:19" x14ac:dyDescent="0.35">
      <c r="A889">
        <v>1017</v>
      </c>
      <c r="B889" s="1">
        <v>45002</v>
      </c>
      <c r="C889" t="s">
        <v>14</v>
      </c>
      <c r="D889" t="s">
        <v>15</v>
      </c>
      <c r="E889">
        <v>2401.81</v>
      </c>
      <c r="F889">
        <v>28</v>
      </c>
      <c r="G889" t="s">
        <v>29</v>
      </c>
      <c r="H889">
        <v>3780.91</v>
      </c>
      <c r="I889">
        <v>3892.73</v>
      </c>
      <c r="J889" t="s">
        <v>17</v>
      </c>
      <c r="K889">
        <v>0.1</v>
      </c>
      <c r="L889" t="s">
        <v>18</v>
      </c>
      <c r="M889" t="s">
        <v>22</v>
      </c>
      <c r="N889" t="s">
        <v>20</v>
      </c>
      <c r="O889">
        <f>Table2[[#This Row],[Unit_Cost]]*Table2[[#This Row],[Quantity_Sold]]</f>
        <v>105865.48</v>
      </c>
      <c r="P889">
        <f t="shared" si="13"/>
        <v>-103463.67</v>
      </c>
      <c r="Q889" s="3">
        <f>Table2[[#This Row],[Gross_Profit]]/Table2[[#This Row],[Sales_Amount]]</f>
        <v>-43.07737497970281</v>
      </c>
      <c r="R889" t="str">
        <f>TEXT(Table2[[#This Row],[Sale_Date]],"mmmm")</f>
        <v>March</v>
      </c>
      <c r="S889" s="4">
        <f>YEAR(Table2[[#This Row],[Sale_Date]])</f>
        <v>2023</v>
      </c>
    </row>
    <row r="890" spans="1:19" x14ac:dyDescent="0.35">
      <c r="A890">
        <v>1074</v>
      </c>
      <c r="B890" s="1">
        <v>44972</v>
      </c>
      <c r="C890" t="s">
        <v>14</v>
      </c>
      <c r="D890" t="s">
        <v>21</v>
      </c>
      <c r="E890">
        <v>1383.82</v>
      </c>
      <c r="F890">
        <v>1</v>
      </c>
      <c r="G890" t="s">
        <v>16</v>
      </c>
      <c r="H890">
        <v>1304.23</v>
      </c>
      <c r="I890">
        <v>1705.71</v>
      </c>
      <c r="J890" t="s">
        <v>17</v>
      </c>
      <c r="K890">
        <v>0.01</v>
      </c>
      <c r="L890" t="s">
        <v>18</v>
      </c>
      <c r="M890" t="s">
        <v>22</v>
      </c>
      <c r="N890" t="s">
        <v>23</v>
      </c>
      <c r="O890">
        <f>Table2[[#This Row],[Unit_Cost]]*Table2[[#This Row],[Quantity_Sold]]</f>
        <v>1304.23</v>
      </c>
      <c r="P890">
        <f t="shared" si="13"/>
        <v>79.589999999999918</v>
      </c>
      <c r="Q890" s="3">
        <f>Table2[[#This Row],[Gross_Profit]]/Table2[[#This Row],[Sales_Amount]]</f>
        <v>5.7514705669812489E-2</v>
      </c>
      <c r="R890" t="str">
        <f>TEXT(Table2[[#This Row],[Sale_Date]],"mmmm")</f>
        <v>February</v>
      </c>
      <c r="S890" s="4">
        <f>YEAR(Table2[[#This Row],[Sale_Date]])</f>
        <v>2023</v>
      </c>
    </row>
    <row r="891" spans="1:19" x14ac:dyDescent="0.35">
      <c r="A891">
        <v>1017</v>
      </c>
      <c r="B891" s="1">
        <v>45086</v>
      </c>
      <c r="C891" t="s">
        <v>33</v>
      </c>
      <c r="D891" t="s">
        <v>34</v>
      </c>
      <c r="E891">
        <v>2638.98</v>
      </c>
      <c r="F891">
        <v>35</v>
      </c>
      <c r="G891" t="s">
        <v>16</v>
      </c>
      <c r="H891">
        <v>4480.63</v>
      </c>
      <c r="I891">
        <v>4884.12</v>
      </c>
      <c r="J891" t="s">
        <v>30</v>
      </c>
      <c r="K891">
        <v>0.04</v>
      </c>
      <c r="L891" t="s">
        <v>18</v>
      </c>
      <c r="M891" t="s">
        <v>19</v>
      </c>
      <c r="N891" t="s">
        <v>36</v>
      </c>
      <c r="O891">
        <f>Table2[[#This Row],[Unit_Cost]]*Table2[[#This Row],[Quantity_Sold]]</f>
        <v>156822.05000000002</v>
      </c>
      <c r="P891">
        <f t="shared" si="13"/>
        <v>-154183.07</v>
      </c>
      <c r="Q891" s="3">
        <f>Table2[[#This Row],[Gross_Profit]]/Table2[[#This Row],[Sales_Amount]]</f>
        <v>-58.425251422898242</v>
      </c>
      <c r="R891" t="str">
        <f>TEXT(Table2[[#This Row],[Sale_Date]],"mmmm")</f>
        <v>June</v>
      </c>
      <c r="S891" s="4">
        <f>YEAR(Table2[[#This Row],[Sale_Date]])</f>
        <v>2023</v>
      </c>
    </row>
    <row r="892" spans="1:19" x14ac:dyDescent="0.35">
      <c r="A892">
        <v>1084</v>
      </c>
      <c r="B892" s="1">
        <v>45006</v>
      </c>
      <c r="C892" t="s">
        <v>38</v>
      </c>
      <c r="D892" t="s">
        <v>25</v>
      </c>
      <c r="E892">
        <v>3617.67</v>
      </c>
      <c r="F892">
        <v>40</v>
      </c>
      <c r="G892" t="s">
        <v>26</v>
      </c>
      <c r="H892">
        <v>2890.95</v>
      </c>
      <c r="I892">
        <v>3104.43</v>
      </c>
      <c r="J892" t="s">
        <v>30</v>
      </c>
      <c r="K892">
        <v>0.21</v>
      </c>
      <c r="L892" t="s">
        <v>27</v>
      </c>
      <c r="M892" t="s">
        <v>19</v>
      </c>
      <c r="N892" t="s">
        <v>39</v>
      </c>
      <c r="O892">
        <f>Table2[[#This Row],[Unit_Cost]]*Table2[[#This Row],[Quantity_Sold]]</f>
        <v>115638</v>
      </c>
      <c r="P892">
        <f t="shared" si="13"/>
        <v>-112020.33</v>
      </c>
      <c r="Q892" s="3">
        <f>Table2[[#This Row],[Gross_Profit]]/Table2[[#This Row],[Sales_Amount]]</f>
        <v>-30.964772906318156</v>
      </c>
      <c r="R892" t="str">
        <f>TEXT(Table2[[#This Row],[Sale_Date]],"mmmm")</f>
        <v>March</v>
      </c>
      <c r="S892" s="4">
        <f>YEAR(Table2[[#This Row],[Sale_Date]])</f>
        <v>2023</v>
      </c>
    </row>
    <row r="893" spans="1:19" x14ac:dyDescent="0.35">
      <c r="A893">
        <v>1088</v>
      </c>
      <c r="B893" s="1">
        <v>45236</v>
      </c>
      <c r="C893" t="s">
        <v>24</v>
      </c>
      <c r="D893" t="s">
        <v>25</v>
      </c>
      <c r="E893">
        <v>6772.54</v>
      </c>
      <c r="F893">
        <v>8</v>
      </c>
      <c r="G893" t="s">
        <v>26</v>
      </c>
      <c r="H893">
        <v>1786.35</v>
      </c>
      <c r="I893">
        <v>1935.29</v>
      </c>
      <c r="J893" t="s">
        <v>30</v>
      </c>
      <c r="K893">
        <v>0.04</v>
      </c>
      <c r="L893" t="s">
        <v>18</v>
      </c>
      <c r="M893" t="s">
        <v>19</v>
      </c>
      <c r="N893" t="s">
        <v>28</v>
      </c>
      <c r="O893">
        <f>Table2[[#This Row],[Unit_Cost]]*Table2[[#This Row],[Quantity_Sold]]</f>
        <v>14290.8</v>
      </c>
      <c r="P893">
        <f t="shared" si="13"/>
        <v>-7518.2599999999993</v>
      </c>
      <c r="Q893" s="3">
        <f>Table2[[#This Row],[Gross_Profit]]/Table2[[#This Row],[Sales_Amount]]</f>
        <v>-1.1101093533593009</v>
      </c>
      <c r="R893" t="str">
        <f>TEXT(Table2[[#This Row],[Sale_Date]],"mmmm")</f>
        <v>November</v>
      </c>
      <c r="S893" s="4">
        <f>YEAR(Table2[[#This Row],[Sale_Date]])</f>
        <v>2023</v>
      </c>
    </row>
    <row r="894" spans="1:19" x14ac:dyDescent="0.35">
      <c r="A894">
        <v>1069</v>
      </c>
      <c r="B894" s="1">
        <v>45012</v>
      </c>
      <c r="C894" t="s">
        <v>24</v>
      </c>
      <c r="D894" t="s">
        <v>34</v>
      </c>
      <c r="E894">
        <v>719.39</v>
      </c>
      <c r="F894">
        <v>47</v>
      </c>
      <c r="G894" t="s">
        <v>35</v>
      </c>
      <c r="H894">
        <v>4171.83</v>
      </c>
      <c r="I894">
        <v>4320.93</v>
      </c>
      <c r="J894" t="s">
        <v>30</v>
      </c>
      <c r="K894">
        <v>7.0000000000000007E-2</v>
      </c>
      <c r="L894" t="s">
        <v>18</v>
      </c>
      <c r="M894" t="s">
        <v>19</v>
      </c>
      <c r="N894" t="s">
        <v>50</v>
      </c>
      <c r="O894">
        <f>Table2[[#This Row],[Unit_Cost]]*Table2[[#This Row],[Quantity_Sold]]</f>
        <v>196076.01</v>
      </c>
      <c r="P894">
        <f t="shared" si="13"/>
        <v>-195356.62</v>
      </c>
      <c r="Q894" s="3">
        <f>Table2[[#This Row],[Gross_Profit]]/Table2[[#This Row],[Sales_Amount]]</f>
        <v>-271.55870946218323</v>
      </c>
      <c r="R894" t="str">
        <f>TEXT(Table2[[#This Row],[Sale_Date]],"mmmm")</f>
        <v>March</v>
      </c>
      <c r="S894" s="4">
        <f>YEAR(Table2[[#This Row],[Sale_Date]])</f>
        <v>2023</v>
      </c>
    </row>
    <row r="895" spans="1:19" x14ac:dyDescent="0.35">
      <c r="A895">
        <v>1034</v>
      </c>
      <c r="B895" s="1">
        <v>45018</v>
      </c>
      <c r="C895" t="s">
        <v>33</v>
      </c>
      <c r="D895" t="s">
        <v>21</v>
      </c>
      <c r="E895">
        <v>2184.02</v>
      </c>
      <c r="F895">
        <v>7</v>
      </c>
      <c r="G895" t="s">
        <v>35</v>
      </c>
      <c r="H895">
        <v>2492.36</v>
      </c>
      <c r="I895">
        <v>2738.68</v>
      </c>
      <c r="J895" t="s">
        <v>17</v>
      </c>
      <c r="K895">
        <v>0.11</v>
      </c>
      <c r="L895" t="s">
        <v>18</v>
      </c>
      <c r="M895" t="s">
        <v>19</v>
      </c>
      <c r="N895" t="s">
        <v>37</v>
      </c>
      <c r="O895">
        <f>Table2[[#This Row],[Unit_Cost]]*Table2[[#This Row],[Quantity_Sold]]</f>
        <v>17446.52</v>
      </c>
      <c r="P895">
        <f t="shared" si="13"/>
        <v>-15262.5</v>
      </c>
      <c r="Q895" s="3">
        <f>Table2[[#This Row],[Gross_Profit]]/Table2[[#This Row],[Sales_Amount]]</f>
        <v>-6.9882601807675755</v>
      </c>
      <c r="R895" t="str">
        <f>TEXT(Table2[[#This Row],[Sale_Date]],"mmmm")</f>
        <v>April</v>
      </c>
      <c r="S895" s="4">
        <f>YEAR(Table2[[#This Row],[Sale_Date]])</f>
        <v>2023</v>
      </c>
    </row>
    <row r="896" spans="1:19" x14ac:dyDescent="0.35">
      <c r="A896">
        <v>1006</v>
      </c>
      <c r="B896" s="1">
        <v>45074</v>
      </c>
      <c r="C896" t="s">
        <v>14</v>
      </c>
      <c r="D896" t="s">
        <v>15</v>
      </c>
      <c r="E896">
        <v>8109.33</v>
      </c>
      <c r="F896">
        <v>11</v>
      </c>
      <c r="G896" t="s">
        <v>26</v>
      </c>
      <c r="H896">
        <v>4562.58</v>
      </c>
      <c r="I896">
        <v>4925.17</v>
      </c>
      <c r="J896" t="s">
        <v>30</v>
      </c>
      <c r="K896">
        <v>0.23</v>
      </c>
      <c r="L896" t="s">
        <v>18</v>
      </c>
      <c r="M896" t="s">
        <v>22</v>
      </c>
      <c r="N896" t="s">
        <v>20</v>
      </c>
      <c r="O896">
        <f>Table2[[#This Row],[Unit_Cost]]*Table2[[#This Row],[Quantity_Sold]]</f>
        <v>50188.38</v>
      </c>
      <c r="P896">
        <f t="shared" si="13"/>
        <v>-42079.049999999996</v>
      </c>
      <c r="Q896" s="3">
        <f>Table2[[#This Row],[Gross_Profit]]/Table2[[#This Row],[Sales_Amount]]</f>
        <v>-5.1889675225943446</v>
      </c>
      <c r="R896" t="str">
        <f>TEXT(Table2[[#This Row],[Sale_Date]],"mmmm")</f>
        <v>May</v>
      </c>
      <c r="S896" s="4">
        <f>YEAR(Table2[[#This Row],[Sale_Date]])</f>
        <v>2023</v>
      </c>
    </row>
    <row r="897" spans="1:19" x14ac:dyDescent="0.35">
      <c r="A897">
        <v>1053</v>
      </c>
      <c r="B897" s="1">
        <v>45087</v>
      </c>
      <c r="C897" t="s">
        <v>33</v>
      </c>
      <c r="D897" t="s">
        <v>34</v>
      </c>
      <c r="E897">
        <v>1554.53</v>
      </c>
      <c r="F897">
        <v>39</v>
      </c>
      <c r="G897" t="s">
        <v>16</v>
      </c>
      <c r="H897">
        <v>4643.67</v>
      </c>
      <c r="I897">
        <v>4829.5200000000004</v>
      </c>
      <c r="J897" t="s">
        <v>17</v>
      </c>
      <c r="K897">
        <v>0.17</v>
      </c>
      <c r="L897" t="s">
        <v>27</v>
      </c>
      <c r="M897" t="s">
        <v>19</v>
      </c>
      <c r="N897" t="s">
        <v>36</v>
      </c>
      <c r="O897">
        <f>Table2[[#This Row],[Unit_Cost]]*Table2[[#This Row],[Quantity_Sold]]</f>
        <v>181103.13</v>
      </c>
      <c r="P897">
        <f t="shared" si="13"/>
        <v>-179548.6</v>
      </c>
      <c r="Q897" s="3">
        <f>Table2[[#This Row],[Gross_Profit]]/Table2[[#This Row],[Sales_Amount]]</f>
        <v>-115.50024766328087</v>
      </c>
      <c r="R897" t="str">
        <f>TEXT(Table2[[#This Row],[Sale_Date]],"mmmm")</f>
        <v>June</v>
      </c>
      <c r="S897" s="4">
        <f>YEAR(Table2[[#This Row],[Sale_Date]])</f>
        <v>2023</v>
      </c>
    </row>
    <row r="898" spans="1:19" x14ac:dyDescent="0.35">
      <c r="A898">
        <v>1066</v>
      </c>
      <c r="B898" s="1">
        <v>45128</v>
      </c>
      <c r="C898" t="s">
        <v>33</v>
      </c>
      <c r="D898" t="s">
        <v>34</v>
      </c>
      <c r="E898">
        <v>3492.19</v>
      </c>
      <c r="F898">
        <v>4</v>
      </c>
      <c r="G898" t="s">
        <v>16</v>
      </c>
      <c r="H898">
        <v>868.83</v>
      </c>
      <c r="I898">
        <v>1177.75</v>
      </c>
      <c r="J898" t="s">
        <v>17</v>
      </c>
      <c r="K898">
        <v>0.21</v>
      </c>
      <c r="L898" t="s">
        <v>31</v>
      </c>
      <c r="M898" t="s">
        <v>22</v>
      </c>
      <c r="N898" t="s">
        <v>36</v>
      </c>
      <c r="O898">
        <f>Table2[[#This Row],[Unit_Cost]]*Table2[[#This Row],[Quantity_Sold]]</f>
        <v>3475.32</v>
      </c>
      <c r="P898">
        <f t="shared" ref="P898:P961" si="14">E898-O898</f>
        <v>16.869999999999891</v>
      </c>
      <c r="Q898" s="3">
        <f>Table2[[#This Row],[Gross_Profit]]/Table2[[#This Row],[Sales_Amount]]</f>
        <v>4.8307795394866519E-3</v>
      </c>
      <c r="R898" t="str">
        <f>TEXT(Table2[[#This Row],[Sale_Date]],"mmmm")</f>
        <v>July</v>
      </c>
      <c r="S898" s="4">
        <f>YEAR(Table2[[#This Row],[Sale_Date]])</f>
        <v>2023</v>
      </c>
    </row>
    <row r="899" spans="1:19" x14ac:dyDescent="0.35">
      <c r="A899">
        <v>1077</v>
      </c>
      <c r="B899" s="1">
        <v>45168</v>
      </c>
      <c r="C899" t="s">
        <v>42</v>
      </c>
      <c r="D899" t="s">
        <v>21</v>
      </c>
      <c r="E899">
        <v>8660.1200000000008</v>
      </c>
      <c r="F899">
        <v>25</v>
      </c>
      <c r="G899" t="s">
        <v>35</v>
      </c>
      <c r="H899">
        <v>61.5</v>
      </c>
      <c r="I899">
        <v>258.91999999999899</v>
      </c>
      <c r="J899" t="s">
        <v>30</v>
      </c>
      <c r="K899">
        <v>0.17</v>
      </c>
      <c r="L899" t="s">
        <v>31</v>
      </c>
      <c r="M899" t="s">
        <v>19</v>
      </c>
      <c r="N899" t="s">
        <v>51</v>
      </c>
      <c r="O899">
        <f>Table2[[#This Row],[Unit_Cost]]*Table2[[#This Row],[Quantity_Sold]]</f>
        <v>1537.5</v>
      </c>
      <c r="P899">
        <f t="shared" si="14"/>
        <v>7122.6200000000008</v>
      </c>
      <c r="Q899" s="3">
        <f>Table2[[#This Row],[Gross_Profit]]/Table2[[#This Row],[Sales_Amount]]</f>
        <v>0.82246204440585124</v>
      </c>
      <c r="R899" t="str">
        <f>TEXT(Table2[[#This Row],[Sale_Date]],"mmmm")</f>
        <v>August</v>
      </c>
      <c r="S899" s="4">
        <f>YEAR(Table2[[#This Row],[Sale_Date]])</f>
        <v>2023</v>
      </c>
    </row>
    <row r="900" spans="1:19" x14ac:dyDescent="0.35">
      <c r="A900">
        <v>1043</v>
      </c>
      <c r="B900" s="1">
        <v>45279</v>
      </c>
      <c r="C900" t="s">
        <v>38</v>
      </c>
      <c r="D900" t="s">
        <v>25</v>
      </c>
      <c r="E900">
        <v>1633.76</v>
      </c>
      <c r="F900">
        <v>12</v>
      </c>
      <c r="G900" t="s">
        <v>35</v>
      </c>
      <c r="H900">
        <v>4920.46</v>
      </c>
      <c r="I900">
        <v>5079.68</v>
      </c>
      <c r="J900" t="s">
        <v>30</v>
      </c>
      <c r="K900">
        <v>0.21</v>
      </c>
      <c r="L900" t="s">
        <v>31</v>
      </c>
      <c r="M900" t="s">
        <v>22</v>
      </c>
      <c r="N900" t="s">
        <v>39</v>
      </c>
      <c r="O900">
        <f>Table2[[#This Row],[Unit_Cost]]*Table2[[#This Row],[Quantity_Sold]]</f>
        <v>59045.520000000004</v>
      </c>
      <c r="P900">
        <f t="shared" si="14"/>
        <v>-57411.76</v>
      </c>
      <c r="Q900" s="3">
        <f>Table2[[#This Row],[Gross_Profit]]/Table2[[#This Row],[Sales_Amount]]</f>
        <v>-35.140877485065126</v>
      </c>
      <c r="R900" t="str">
        <f>TEXT(Table2[[#This Row],[Sale_Date]],"mmmm")</f>
        <v>December</v>
      </c>
      <c r="S900" s="4">
        <f>YEAR(Table2[[#This Row],[Sale_Date]])</f>
        <v>2023</v>
      </c>
    </row>
    <row r="901" spans="1:19" x14ac:dyDescent="0.35">
      <c r="A901">
        <v>1075</v>
      </c>
      <c r="B901" s="1">
        <v>44928</v>
      </c>
      <c r="C901" t="s">
        <v>24</v>
      </c>
      <c r="D901" t="s">
        <v>21</v>
      </c>
      <c r="E901">
        <v>919.09</v>
      </c>
      <c r="F901">
        <v>26</v>
      </c>
      <c r="G901" t="s">
        <v>35</v>
      </c>
      <c r="H901">
        <v>4535.38</v>
      </c>
      <c r="I901">
        <v>4557.5600000000004</v>
      </c>
      <c r="J901" t="s">
        <v>30</v>
      </c>
      <c r="K901">
        <v>0</v>
      </c>
      <c r="L901" t="s">
        <v>31</v>
      </c>
      <c r="M901" t="s">
        <v>19</v>
      </c>
      <c r="N901" t="s">
        <v>47</v>
      </c>
      <c r="O901">
        <f>Table2[[#This Row],[Unit_Cost]]*Table2[[#This Row],[Quantity_Sold]]</f>
        <v>117919.88</v>
      </c>
      <c r="P901">
        <f t="shared" si="14"/>
        <v>-117000.79000000001</v>
      </c>
      <c r="Q901" s="3">
        <f>Table2[[#This Row],[Gross_Profit]]/Table2[[#This Row],[Sales_Amount]]</f>
        <v>-127.30068872471685</v>
      </c>
      <c r="R901" t="str">
        <f>TEXT(Table2[[#This Row],[Sale_Date]],"mmmm")</f>
        <v>January</v>
      </c>
      <c r="S901" s="4">
        <f>YEAR(Table2[[#This Row],[Sale_Date]])</f>
        <v>2023</v>
      </c>
    </row>
    <row r="902" spans="1:19" x14ac:dyDescent="0.35">
      <c r="A902">
        <v>1023</v>
      </c>
      <c r="B902" s="1">
        <v>45151</v>
      </c>
      <c r="C902" t="s">
        <v>14</v>
      </c>
      <c r="D902" t="s">
        <v>34</v>
      </c>
      <c r="E902">
        <v>4896.93</v>
      </c>
      <c r="F902">
        <v>38</v>
      </c>
      <c r="G902" t="s">
        <v>29</v>
      </c>
      <c r="H902">
        <v>324.45</v>
      </c>
      <c r="I902">
        <v>336.37</v>
      </c>
      <c r="J902" t="s">
        <v>30</v>
      </c>
      <c r="K902">
        <v>0.28000000000000003</v>
      </c>
      <c r="L902" t="s">
        <v>31</v>
      </c>
      <c r="M902" t="s">
        <v>22</v>
      </c>
      <c r="N902" t="s">
        <v>46</v>
      </c>
      <c r="O902">
        <f>Table2[[#This Row],[Unit_Cost]]*Table2[[#This Row],[Quantity_Sold]]</f>
        <v>12329.1</v>
      </c>
      <c r="P902">
        <f t="shared" si="14"/>
        <v>-7432.17</v>
      </c>
      <c r="Q902" s="3">
        <f>Table2[[#This Row],[Gross_Profit]]/Table2[[#This Row],[Sales_Amount]]</f>
        <v>-1.5177202859750905</v>
      </c>
      <c r="R902" t="str">
        <f>TEXT(Table2[[#This Row],[Sale_Date]],"mmmm")</f>
        <v>August</v>
      </c>
      <c r="S902" s="4">
        <f>YEAR(Table2[[#This Row],[Sale_Date]])</f>
        <v>2023</v>
      </c>
    </row>
    <row r="903" spans="1:19" x14ac:dyDescent="0.35">
      <c r="A903">
        <v>1055</v>
      </c>
      <c r="B903" s="1">
        <v>45215</v>
      </c>
      <c r="C903" t="s">
        <v>24</v>
      </c>
      <c r="D903" t="s">
        <v>34</v>
      </c>
      <c r="E903">
        <v>3093.95</v>
      </c>
      <c r="F903">
        <v>46</v>
      </c>
      <c r="G903" t="s">
        <v>29</v>
      </c>
      <c r="H903">
        <v>4173.5200000000004</v>
      </c>
      <c r="I903">
        <v>4294.8500000000004</v>
      </c>
      <c r="J903" t="s">
        <v>17</v>
      </c>
      <c r="K903">
        <v>0.03</v>
      </c>
      <c r="L903" t="s">
        <v>27</v>
      </c>
      <c r="M903" t="s">
        <v>22</v>
      </c>
      <c r="N903" t="s">
        <v>50</v>
      </c>
      <c r="O903">
        <f>Table2[[#This Row],[Unit_Cost]]*Table2[[#This Row],[Quantity_Sold]]</f>
        <v>191981.92</v>
      </c>
      <c r="P903">
        <f t="shared" si="14"/>
        <v>-188887.97</v>
      </c>
      <c r="Q903" s="3">
        <f>Table2[[#This Row],[Gross_Profit]]/Table2[[#This Row],[Sales_Amount]]</f>
        <v>-61.050750658543294</v>
      </c>
      <c r="R903" t="str">
        <f>TEXT(Table2[[#This Row],[Sale_Date]],"mmmm")</f>
        <v>October</v>
      </c>
      <c r="S903" s="4">
        <f>YEAR(Table2[[#This Row],[Sale_Date]])</f>
        <v>2023</v>
      </c>
    </row>
    <row r="904" spans="1:19" x14ac:dyDescent="0.35">
      <c r="A904">
        <v>1080</v>
      </c>
      <c r="B904" s="1">
        <v>45159</v>
      </c>
      <c r="C904" t="s">
        <v>24</v>
      </c>
      <c r="D904" t="s">
        <v>25</v>
      </c>
      <c r="E904">
        <v>5677.74</v>
      </c>
      <c r="F904">
        <v>12</v>
      </c>
      <c r="G904" t="s">
        <v>35</v>
      </c>
      <c r="H904">
        <v>2316.13</v>
      </c>
      <c r="I904">
        <v>2525.27</v>
      </c>
      <c r="J904" t="s">
        <v>17</v>
      </c>
      <c r="K904">
        <v>0.12</v>
      </c>
      <c r="L904" t="s">
        <v>31</v>
      </c>
      <c r="M904" t="s">
        <v>22</v>
      </c>
      <c r="N904" t="s">
        <v>28</v>
      </c>
      <c r="O904">
        <f>Table2[[#This Row],[Unit_Cost]]*Table2[[#This Row],[Quantity_Sold]]</f>
        <v>27793.56</v>
      </c>
      <c r="P904">
        <f t="shared" si="14"/>
        <v>-22115.82</v>
      </c>
      <c r="Q904" s="3">
        <f>Table2[[#This Row],[Gross_Profit]]/Table2[[#This Row],[Sales_Amount]]</f>
        <v>-3.8951801244861515</v>
      </c>
      <c r="R904" t="str">
        <f>TEXT(Table2[[#This Row],[Sale_Date]],"mmmm")</f>
        <v>August</v>
      </c>
      <c r="S904" s="4">
        <f>YEAR(Table2[[#This Row],[Sale_Date]])</f>
        <v>2023</v>
      </c>
    </row>
    <row r="905" spans="1:19" x14ac:dyDescent="0.35">
      <c r="A905">
        <v>1095</v>
      </c>
      <c r="B905" s="1">
        <v>45003</v>
      </c>
      <c r="C905" t="s">
        <v>38</v>
      </c>
      <c r="D905" t="s">
        <v>25</v>
      </c>
      <c r="E905">
        <v>8057.67</v>
      </c>
      <c r="F905">
        <v>43</v>
      </c>
      <c r="G905" t="s">
        <v>16</v>
      </c>
      <c r="H905">
        <v>1331.86</v>
      </c>
      <c r="I905">
        <v>1758.98</v>
      </c>
      <c r="J905" t="s">
        <v>17</v>
      </c>
      <c r="K905">
        <v>0.23</v>
      </c>
      <c r="L905" t="s">
        <v>27</v>
      </c>
      <c r="M905" t="s">
        <v>22</v>
      </c>
      <c r="N905" t="s">
        <v>39</v>
      </c>
      <c r="O905">
        <f>Table2[[#This Row],[Unit_Cost]]*Table2[[#This Row],[Quantity_Sold]]</f>
        <v>57269.979999999996</v>
      </c>
      <c r="P905">
        <f t="shared" si="14"/>
        <v>-49212.31</v>
      </c>
      <c r="Q905" s="3">
        <f>Table2[[#This Row],[Gross_Profit]]/Table2[[#This Row],[Sales_Amount]]</f>
        <v>-6.1075112284320401</v>
      </c>
      <c r="R905" t="str">
        <f>TEXT(Table2[[#This Row],[Sale_Date]],"mmmm")</f>
        <v>March</v>
      </c>
      <c r="S905" s="4">
        <f>YEAR(Table2[[#This Row],[Sale_Date]])</f>
        <v>2023</v>
      </c>
    </row>
    <row r="906" spans="1:19" x14ac:dyDescent="0.35">
      <c r="A906">
        <v>1075</v>
      </c>
      <c r="B906" s="1">
        <v>45042</v>
      </c>
      <c r="C906" t="s">
        <v>24</v>
      </c>
      <c r="D906" t="s">
        <v>25</v>
      </c>
      <c r="E906">
        <v>1457.77</v>
      </c>
      <c r="F906">
        <v>37</v>
      </c>
      <c r="G906" t="s">
        <v>35</v>
      </c>
      <c r="H906">
        <v>4399.8</v>
      </c>
      <c r="I906">
        <v>4801.0600000000004</v>
      </c>
      <c r="J906" t="s">
        <v>30</v>
      </c>
      <c r="K906">
        <v>0.13</v>
      </c>
      <c r="L906" t="s">
        <v>27</v>
      </c>
      <c r="M906" t="s">
        <v>22</v>
      </c>
      <c r="N906" t="s">
        <v>28</v>
      </c>
      <c r="O906">
        <f>Table2[[#This Row],[Unit_Cost]]*Table2[[#This Row],[Quantity_Sold]]</f>
        <v>162792.6</v>
      </c>
      <c r="P906">
        <f t="shared" si="14"/>
        <v>-161334.83000000002</v>
      </c>
      <c r="Q906" s="3">
        <f>Table2[[#This Row],[Gross_Profit]]/Table2[[#This Row],[Sales_Amount]]</f>
        <v>-110.67234886161741</v>
      </c>
      <c r="R906" t="str">
        <f>TEXT(Table2[[#This Row],[Sale_Date]],"mmmm")</f>
        <v>April</v>
      </c>
      <c r="S906" s="4">
        <f>YEAR(Table2[[#This Row],[Sale_Date]])</f>
        <v>2023</v>
      </c>
    </row>
    <row r="907" spans="1:19" x14ac:dyDescent="0.35">
      <c r="A907">
        <v>1016</v>
      </c>
      <c r="B907" s="1">
        <v>45080</v>
      </c>
      <c r="C907" t="s">
        <v>24</v>
      </c>
      <c r="D907" t="s">
        <v>21</v>
      </c>
      <c r="E907">
        <v>5848.92</v>
      </c>
      <c r="F907">
        <v>46</v>
      </c>
      <c r="G907" t="s">
        <v>29</v>
      </c>
      <c r="H907">
        <v>1023.5</v>
      </c>
      <c r="I907">
        <v>1164.4100000000001</v>
      </c>
      <c r="J907" t="s">
        <v>17</v>
      </c>
      <c r="K907">
        <v>0.28000000000000003</v>
      </c>
      <c r="L907" t="s">
        <v>31</v>
      </c>
      <c r="M907" t="s">
        <v>22</v>
      </c>
      <c r="N907" t="s">
        <v>47</v>
      </c>
      <c r="O907">
        <f>Table2[[#This Row],[Unit_Cost]]*Table2[[#This Row],[Quantity_Sold]]</f>
        <v>47081</v>
      </c>
      <c r="P907">
        <f t="shared" si="14"/>
        <v>-41232.080000000002</v>
      </c>
      <c r="Q907" s="3">
        <f>Table2[[#This Row],[Gross_Profit]]/Table2[[#This Row],[Sales_Amount]]</f>
        <v>-7.0495202533117229</v>
      </c>
      <c r="R907" t="str">
        <f>TEXT(Table2[[#This Row],[Sale_Date]],"mmmm")</f>
        <v>June</v>
      </c>
      <c r="S907" s="4">
        <f>YEAR(Table2[[#This Row],[Sale_Date]])</f>
        <v>2023</v>
      </c>
    </row>
    <row r="908" spans="1:19" x14ac:dyDescent="0.35">
      <c r="A908">
        <v>1008</v>
      </c>
      <c r="B908" s="1">
        <v>45029</v>
      </c>
      <c r="C908" t="s">
        <v>33</v>
      </c>
      <c r="D908" t="s">
        <v>25</v>
      </c>
      <c r="E908">
        <v>5104.54</v>
      </c>
      <c r="F908">
        <v>24</v>
      </c>
      <c r="G908" t="s">
        <v>16</v>
      </c>
      <c r="H908">
        <v>4739.13</v>
      </c>
      <c r="I908">
        <v>4868.95</v>
      </c>
      <c r="J908" t="s">
        <v>30</v>
      </c>
      <c r="K908">
        <v>0.14000000000000001</v>
      </c>
      <c r="L908" t="s">
        <v>31</v>
      </c>
      <c r="M908" t="s">
        <v>22</v>
      </c>
      <c r="N908" t="s">
        <v>44</v>
      </c>
      <c r="O908">
        <f>Table2[[#This Row],[Unit_Cost]]*Table2[[#This Row],[Quantity_Sold]]</f>
        <v>113739.12</v>
      </c>
      <c r="P908">
        <f t="shared" si="14"/>
        <v>-108634.58</v>
      </c>
      <c r="Q908" s="3">
        <f>Table2[[#This Row],[Gross_Profit]]/Table2[[#This Row],[Sales_Amount]]</f>
        <v>-21.281952928177663</v>
      </c>
      <c r="R908" t="str">
        <f>TEXT(Table2[[#This Row],[Sale_Date]],"mmmm")</f>
        <v>April</v>
      </c>
      <c r="S908" s="4">
        <f>YEAR(Table2[[#This Row],[Sale_Date]])</f>
        <v>2023</v>
      </c>
    </row>
    <row r="909" spans="1:19" x14ac:dyDescent="0.35">
      <c r="A909">
        <v>1004</v>
      </c>
      <c r="B909" s="1">
        <v>45120</v>
      </c>
      <c r="C909" t="s">
        <v>38</v>
      </c>
      <c r="D909" t="s">
        <v>34</v>
      </c>
      <c r="E909">
        <v>1526.38</v>
      </c>
      <c r="F909">
        <v>16</v>
      </c>
      <c r="G909" t="s">
        <v>29</v>
      </c>
      <c r="H909">
        <v>1067.83</v>
      </c>
      <c r="I909">
        <v>1189.22</v>
      </c>
      <c r="J909" t="s">
        <v>17</v>
      </c>
      <c r="K909">
        <v>0.26</v>
      </c>
      <c r="L909" t="s">
        <v>31</v>
      </c>
      <c r="M909" t="s">
        <v>22</v>
      </c>
      <c r="N909" t="s">
        <v>48</v>
      </c>
      <c r="O909">
        <f>Table2[[#This Row],[Unit_Cost]]*Table2[[#This Row],[Quantity_Sold]]</f>
        <v>17085.28</v>
      </c>
      <c r="P909">
        <f t="shared" si="14"/>
        <v>-15558.899999999998</v>
      </c>
      <c r="Q909" s="3">
        <f>Table2[[#This Row],[Gross_Profit]]/Table2[[#This Row],[Sales_Amount]]</f>
        <v>-10.193333245980684</v>
      </c>
      <c r="R909" t="str">
        <f>TEXT(Table2[[#This Row],[Sale_Date]],"mmmm")</f>
        <v>July</v>
      </c>
      <c r="S909" s="4">
        <f>YEAR(Table2[[#This Row],[Sale_Date]])</f>
        <v>2023</v>
      </c>
    </row>
    <row r="910" spans="1:19" x14ac:dyDescent="0.35">
      <c r="A910">
        <v>1004</v>
      </c>
      <c r="B910" s="1">
        <v>45092</v>
      </c>
      <c r="C910" t="s">
        <v>42</v>
      </c>
      <c r="D910" t="s">
        <v>34</v>
      </c>
      <c r="E910">
        <v>6277.59</v>
      </c>
      <c r="F910">
        <v>13</v>
      </c>
      <c r="G910" t="s">
        <v>16</v>
      </c>
      <c r="H910">
        <v>3087.73</v>
      </c>
      <c r="I910">
        <v>3263.96</v>
      </c>
      <c r="J910" t="s">
        <v>30</v>
      </c>
      <c r="K910">
        <v>0.24</v>
      </c>
      <c r="L910" t="s">
        <v>18</v>
      </c>
      <c r="M910" t="s">
        <v>22</v>
      </c>
      <c r="N910" t="s">
        <v>52</v>
      </c>
      <c r="O910">
        <f>Table2[[#This Row],[Unit_Cost]]*Table2[[#This Row],[Quantity_Sold]]</f>
        <v>40140.49</v>
      </c>
      <c r="P910">
        <f t="shared" si="14"/>
        <v>-33862.899999999994</v>
      </c>
      <c r="Q910" s="3">
        <f>Table2[[#This Row],[Gross_Profit]]/Table2[[#This Row],[Sales_Amount]]</f>
        <v>-5.3942516156677947</v>
      </c>
      <c r="R910" t="str">
        <f>TEXT(Table2[[#This Row],[Sale_Date]],"mmmm")</f>
        <v>June</v>
      </c>
      <c r="S910" s="4">
        <f>YEAR(Table2[[#This Row],[Sale_Date]])</f>
        <v>2023</v>
      </c>
    </row>
    <row r="911" spans="1:19" x14ac:dyDescent="0.35">
      <c r="A911">
        <v>1056</v>
      </c>
      <c r="B911" s="1">
        <v>45285</v>
      </c>
      <c r="C911" t="s">
        <v>14</v>
      </c>
      <c r="D911" t="s">
        <v>15</v>
      </c>
      <c r="E911">
        <v>2809.04</v>
      </c>
      <c r="F911">
        <v>25</v>
      </c>
      <c r="G911" t="s">
        <v>29</v>
      </c>
      <c r="H911">
        <v>1154.28</v>
      </c>
      <c r="I911">
        <v>1408.4</v>
      </c>
      <c r="J911" t="s">
        <v>17</v>
      </c>
      <c r="K911">
        <v>0.28999999999999998</v>
      </c>
      <c r="L911" t="s">
        <v>27</v>
      </c>
      <c r="M911" t="s">
        <v>22</v>
      </c>
      <c r="N911" t="s">
        <v>20</v>
      </c>
      <c r="O911">
        <f>Table2[[#This Row],[Unit_Cost]]*Table2[[#This Row],[Quantity_Sold]]</f>
        <v>28857</v>
      </c>
      <c r="P911">
        <f t="shared" si="14"/>
        <v>-26047.96</v>
      </c>
      <c r="Q911" s="3">
        <f>Table2[[#This Row],[Gross_Profit]]/Table2[[#This Row],[Sales_Amount]]</f>
        <v>-9.2729046222196914</v>
      </c>
      <c r="R911" t="str">
        <f>TEXT(Table2[[#This Row],[Sale_Date]],"mmmm")</f>
        <v>December</v>
      </c>
      <c r="S911" s="4">
        <f>YEAR(Table2[[#This Row],[Sale_Date]])</f>
        <v>2023</v>
      </c>
    </row>
    <row r="912" spans="1:19" x14ac:dyDescent="0.3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c r="O912">
        <f>Table2[[#This Row],[Unit_Cost]]*Table2[[#This Row],[Quantity_Sold]]</f>
        <v>11004.24</v>
      </c>
      <c r="P912">
        <f t="shared" si="14"/>
        <v>-6074.6799999999994</v>
      </c>
      <c r="Q912" s="3">
        <f>Table2[[#This Row],[Gross_Profit]]/Table2[[#This Row],[Sales_Amount]]</f>
        <v>-1.2322965944222199</v>
      </c>
      <c r="R912" t="str">
        <f>TEXT(Table2[[#This Row],[Sale_Date]],"mmmm")</f>
        <v>March</v>
      </c>
      <c r="S912" s="4">
        <f>YEAR(Table2[[#This Row],[Sale_Date]])</f>
        <v>2023</v>
      </c>
    </row>
    <row r="913" spans="1:19" x14ac:dyDescent="0.35">
      <c r="A913">
        <v>1067</v>
      </c>
      <c r="B913" s="1">
        <v>45100</v>
      </c>
      <c r="C913" t="s">
        <v>14</v>
      </c>
      <c r="D913" t="s">
        <v>15</v>
      </c>
      <c r="E913">
        <v>914.5</v>
      </c>
      <c r="F913">
        <v>11</v>
      </c>
      <c r="G913" t="s">
        <v>16</v>
      </c>
      <c r="H913">
        <v>3435.68</v>
      </c>
      <c r="I913">
        <v>3552.6299999999901</v>
      </c>
      <c r="J913" t="s">
        <v>30</v>
      </c>
      <c r="K913">
        <v>0.27</v>
      </c>
      <c r="L913" t="s">
        <v>18</v>
      </c>
      <c r="M913" t="s">
        <v>22</v>
      </c>
      <c r="N913" t="s">
        <v>20</v>
      </c>
      <c r="O913">
        <f>Table2[[#This Row],[Unit_Cost]]*Table2[[#This Row],[Quantity_Sold]]</f>
        <v>37792.479999999996</v>
      </c>
      <c r="P913">
        <f t="shared" si="14"/>
        <v>-36877.979999999996</v>
      </c>
      <c r="Q913" s="3">
        <f>Table2[[#This Row],[Gross_Profit]]/Table2[[#This Row],[Sales_Amount]]</f>
        <v>-40.325839256424274</v>
      </c>
      <c r="R913" t="str">
        <f>TEXT(Table2[[#This Row],[Sale_Date]],"mmmm")</f>
        <v>June</v>
      </c>
      <c r="S913" s="4">
        <f>YEAR(Table2[[#This Row],[Sale_Date]])</f>
        <v>2023</v>
      </c>
    </row>
    <row r="914" spans="1:19" x14ac:dyDescent="0.35">
      <c r="A914">
        <v>1096</v>
      </c>
      <c r="B914" s="1">
        <v>45048</v>
      </c>
      <c r="C914" t="s">
        <v>42</v>
      </c>
      <c r="D914" t="s">
        <v>34</v>
      </c>
      <c r="E914">
        <v>4649.88</v>
      </c>
      <c r="F914">
        <v>32</v>
      </c>
      <c r="G914" t="s">
        <v>16</v>
      </c>
      <c r="H914">
        <v>991.63</v>
      </c>
      <c r="I914">
        <v>1065.55</v>
      </c>
      <c r="J914" t="s">
        <v>17</v>
      </c>
      <c r="K914">
        <v>0.22</v>
      </c>
      <c r="L914" t="s">
        <v>27</v>
      </c>
      <c r="M914" t="s">
        <v>22</v>
      </c>
      <c r="N914" t="s">
        <v>52</v>
      </c>
      <c r="O914">
        <f>Table2[[#This Row],[Unit_Cost]]*Table2[[#This Row],[Quantity_Sold]]</f>
        <v>31732.16</v>
      </c>
      <c r="P914">
        <f t="shared" si="14"/>
        <v>-27082.28</v>
      </c>
      <c r="Q914" s="3">
        <f>Table2[[#This Row],[Gross_Profit]]/Table2[[#This Row],[Sales_Amount]]</f>
        <v>-5.8242965409860039</v>
      </c>
      <c r="R914" t="str">
        <f>TEXT(Table2[[#This Row],[Sale_Date]],"mmmm")</f>
        <v>May</v>
      </c>
      <c r="S914" s="4">
        <f>YEAR(Table2[[#This Row],[Sale_Date]])</f>
        <v>2023</v>
      </c>
    </row>
    <row r="915" spans="1:19" x14ac:dyDescent="0.35">
      <c r="A915">
        <v>1067</v>
      </c>
      <c r="B915" s="1">
        <v>45069</v>
      </c>
      <c r="C915" t="s">
        <v>14</v>
      </c>
      <c r="D915" t="s">
        <v>15</v>
      </c>
      <c r="E915">
        <v>3133.99</v>
      </c>
      <c r="F915">
        <v>49</v>
      </c>
      <c r="G915" t="s">
        <v>16</v>
      </c>
      <c r="H915">
        <v>2628.38</v>
      </c>
      <c r="I915">
        <v>2644.54</v>
      </c>
      <c r="J915" t="s">
        <v>17</v>
      </c>
      <c r="K915">
        <v>0.11</v>
      </c>
      <c r="L915" t="s">
        <v>18</v>
      </c>
      <c r="M915" t="s">
        <v>19</v>
      </c>
      <c r="N915" t="s">
        <v>20</v>
      </c>
      <c r="O915">
        <f>Table2[[#This Row],[Unit_Cost]]*Table2[[#This Row],[Quantity_Sold]]</f>
        <v>128790.62000000001</v>
      </c>
      <c r="P915">
        <f t="shared" si="14"/>
        <v>-125656.63</v>
      </c>
      <c r="Q915" s="3">
        <f>Table2[[#This Row],[Gross_Profit]]/Table2[[#This Row],[Sales_Amount]]</f>
        <v>-40.094776945682668</v>
      </c>
      <c r="R915" t="str">
        <f>TEXT(Table2[[#This Row],[Sale_Date]],"mmmm")</f>
        <v>May</v>
      </c>
      <c r="S915" s="4">
        <f>YEAR(Table2[[#This Row],[Sale_Date]])</f>
        <v>2023</v>
      </c>
    </row>
    <row r="916" spans="1:19" x14ac:dyDescent="0.35">
      <c r="A916">
        <v>1027</v>
      </c>
      <c r="B916" s="1">
        <v>45032</v>
      </c>
      <c r="C916" t="s">
        <v>42</v>
      </c>
      <c r="D916" t="s">
        <v>34</v>
      </c>
      <c r="E916">
        <v>8241.57</v>
      </c>
      <c r="F916">
        <v>7</v>
      </c>
      <c r="G916" t="s">
        <v>26</v>
      </c>
      <c r="H916">
        <v>2371.85</v>
      </c>
      <c r="I916">
        <v>2457.29</v>
      </c>
      <c r="J916" t="s">
        <v>30</v>
      </c>
      <c r="K916">
        <v>0.03</v>
      </c>
      <c r="L916" t="s">
        <v>18</v>
      </c>
      <c r="M916" t="s">
        <v>22</v>
      </c>
      <c r="N916" t="s">
        <v>52</v>
      </c>
      <c r="O916">
        <f>Table2[[#This Row],[Unit_Cost]]*Table2[[#This Row],[Quantity_Sold]]</f>
        <v>16602.95</v>
      </c>
      <c r="P916">
        <f t="shared" si="14"/>
        <v>-8361.380000000001</v>
      </c>
      <c r="Q916" s="3">
        <f>Table2[[#This Row],[Gross_Profit]]/Table2[[#This Row],[Sales_Amount]]</f>
        <v>-1.0145372786981124</v>
      </c>
      <c r="R916" t="str">
        <f>TEXT(Table2[[#This Row],[Sale_Date]],"mmmm")</f>
        <v>April</v>
      </c>
      <c r="S916" s="4">
        <f>YEAR(Table2[[#This Row],[Sale_Date]])</f>
        <v>2023</v>
      </c>
    </row>
    <row r="917" spans="1:19" x14ac:dyDescent="0.35">
      <c r="A917">
        <v>1093</v>
      </c>
      <c r="B917" s="1">
        <v>45231</v>
      </c>
      <c r="C917" t="s">
        <v>33</v>
      </c>
      <c r="D917" t="s">
        <v>15</v>
      </c>
      <c r="E917">
        <v>664.09</v>
      </c>
      <c r="F917">
        <v>46</v>
      </c>
      <c r="G917" t="s">
        <v>29</v>
      </c>
      <c r="H917">
        <v>401.64</v>
      </c>
      <c r="I917">
        <v>757.26</v>
      </c>
      <c r="J917" t="s">
        <v>30</v>
      </c>
      <c r="K917">
        <v>0.21</v>
      </c>
      <c r="L917" t="s">
        <v>31</v>
      </c>
      <c r="M917" t="s">
        <v>22</v>
      </c>
      <c r="N917" t="s">
        <v>53</v>
      </c>
      <c r="O917">
        <f>Table2[[#This Row],[Unit_Cost]]*Table2[[#This Row],[Quantity_Sold]]</f>
        <v>18475.439999999999</v>
      </c>
      <c r="P917">
        <f t="shared" si="14"/>
        <v>-17811.349999999999</v>
      </c>
      <c r="Q917" s="3">
        <f>Table2[[#This Row],[Gross_Profit]]/Table2[[#This Row],[Sales_Amount]]</f>
        <v>-26.820686955081385</v>
      </c>
      <c r="R917" t="str">
        <f>TEXT(Table2[[#This Row],[Sale_Date]],"mmmm")</f>
        <v>November</v>
      </c>
      <c r="S917" s="4">
        <f>YEAR(Table2[[#This Row],[Sale_Date]])</f>
        <v>2023</v>
      </c>
    </row>
    <row r="918" spans="1:19" x14ac:dyDescent="0.35">
      <c r="A918">
        <v>1032</v>
      </c>
      <c r="B918" s="1">
        <v>45286</v>
      </c>
      <c r="C918" t="s">
        <v>24</v>
      </c>
      <c r="D918" t="s">
        <v>25</v>
      </c>
      <c r="E918">
        <v>4244.21</v>
      </c>
      <c r="F918">
        <v>11</v>
      </c>
      <c r="G918" t="s">
        <v>29</v>
      </c>
      <c r="H918">
        <v>4100.62</v>
      </c>
      <c r="I918">
        <v>4230</v>
      </c>
      <c r="J918" t="s">
        <v>30</v>
      </c>
      <c r="K918">
        <v>0.28999999999999998</v>
      </c>
      <c r="L918" t="s">
        <v>27</v>
      </c>
      <c r="M918" t="s">
        <v>19</v>
      </c>
      <c r="N918" t="s">
        <v>28</v>
      </c>
      <c r="O918">
        <f>Table2[[#This Row],[Unit_Cost]]*Table2[[#This Row],[Quantity_Sold]]</f>
        <v>45106.82</v>
      </c>
      <c r="P918">
        <f t="shared" si="14"/>
        <v>-40862.61</v>
      </c>
      <c r="Q918" s="3">
        <f>Table2[[#This Row],[Gross_Profit]]/Table2[[#This Row],[Sales_Amount]]</f>
        <v>-9.6278482921438862</v>
      </c>
      <c r="R918" t="str">
        <f>TEXT(Table2[[#This Row],[Sale_Date]],"mmmm")</f>
        <v>December</v>
      </c>
      <c r="S918" s="4">
        <f>YEAR(Table2[[#This Row],[Sale_Date]])</f>
        <v>2023</v>
      </c>
    </row>
    <row r="919" spans="1:19" x14ac:dyDescent="0.35">
      <c r="A919">
        <v>1050</v>
      </c>
      <c r="B919" s="1">
        <v>45243</v>
      </c>
      <c r="C919" t="s">
        <v>42</v>
      </c>
      <c r="D919" t="s">
        <v>15</v>
      </c>
      <c r="E919">
        <v>4638.47</v>
      </c>
      <c r="F919">
        <v>28</v>
      </c>
      <c r="G919" t="s">
        <v>26</v>
      </c>
      <c r="H919">
        <v>1711.63</v>
      </c>
      <c r="I919">
        <v>1951.24</v>
      </c>
      <c r="J919" t="s">
        <v>30</v>
      </c>
      <c r="K919">
        <v>0.22</v>
      </c>
      <c r="L919" t="s">
        <v>18</v>
      </c>
      <c r="M919" t="s">
        <v>19</v>
      </c>
      <c r="N919" t="s">
        <v>49</v>
      </c>
      <c r="O919">
        <f>Table2[[#This Row],[Unit_Cost]]*Table2[[#This Row],[Quantity_Sold]]</f>
        <v>47925.64</v>
      </c>
      <c r="P919">
        <f t="shared" si="14"/>
        <v>-43287.17</v>
      </c>
      <c r="Q919" s="3">
        <f>Table2[[#This Row],[Gross_Profit]]/Table2[[#This Row],[Sales_Amount]]</f>
        <v>-9.3322086808796865</v>
      </c>
      <c r="R919" t="str">
        <f>TEXT(Table2[[#This Row],[Sale_Date]],"mmmm")</f>
        <v>November</v>
      </c>
      <c r="S919" s="4">
        <f>YEAR(Table2[[#This Row],[Sale_Date]])</f>
        <v>2023</v>
      </c>
    </row>
    <row r="920" spans="1:19" x14ac:dyDescent="0.35">
      <c r="A920">
        <v>1061</v>
      </c>
      <c r="B920" s="1">
        <v>45049</v>
      </c>
      <c r="C920" t="s">
        <v>14</v>
      </c>
      <c r="D920" t="s">
        <v>25</v>
      </c>
      <c r="E920">
        <v>7277.56</v>
      </c>
      <c r="F920">
        <v>41</v>
      </c>
      <c r="G920" t="s">
        <v>16</v>
      </c>
      <c r="H920">
        <v>2894.18</v>
      </c>
      <c r="I920">
        <v>3193.92</v>
      </c>
      <c r="J920" t="s">
        <v>30</v>
      </c>
      <c r="K920">
        <v>0.28000000000000003</v>
      </c>
      <c r="L920" t="s">
        <v>27</v>
      </c>
      <c r="M920" t="s">
        <v>22</v>
      </c>
      <c r="N920" t="s">
        <v>32</v>
      </c>
      <c r="O920">
        <f>Table2[[#This Row],[Unit_Cost]]*Table2[[#This Row],[Quantity_Sold]]</f>
        <v>118661.37999999999</v>
      </c>
      <c r="P920">
        <f t="shared" si="14"/>
        <v>-111383.81999999999</v>
      </c>
      <c r="Q920" s="3">
        <f>Table2[[#This Row],[Gross_Profit]]/Table2[[#This Row],[Sales_Amount]]</f>
        <v>-15.305105007722366</v>
      </c>
      <c r="R920" t="str">
        <f>TEXT(Table2[[#This Row],[Sale_Date]],"mmmm")</f>
        <v>May</v>
      </c>
      <c r="S920" s="4">
        <f>YEAR(Table2[[#This Row],[Sale_Date]])</f>
        <v>2023</v>
      </c>
    </row>
    <row r="921" spans="1:19" x14ac:dyDescent="0.35">
      <c r="A921">
        <v>1051</v>
      </c>
      <c r="B921" s="1">
        <v>44935</v>
      </c>
      <c r="C921" t="s">
        <v>24</v>
      </c>
      <c r="D921" t="s">
        <v>25</v>
      </c>
      <c r="E921">
        <v>5785.45</v>
      </c>
      <c r="F921">
        <v>23</v>
      </c>
      <c r="G921" t="s">
        <v>16</v>
      </c>
      <c r="H921">
        <v>2598.1799999999998</v>
      </c>
      <c r="I921">
        <v>3042.73</v>
      </c>
      <c r="J921" t="s">
        <v>17</v>
      </c>
      <c r="K921">
        <v>0.24</v>
      </c>
      <c r="L921" t="s">
        <v>31</v>
      </c>
      <c r="M921" t="s">
        <v>19</v>
      </c>
      <c r="N921" t="s">
        <v>28</v>
      </c>
      <c r="O921">
        <f>Table2[[#This Row],[Unit_Cost]]*Table2[[#This Row],[Quantity_Sold]]</f>
        <v>59758.14</v>
      </c>
      <c r="P921">
        <f t="shared" si="14"/>
        <v>-53972.69</v>
      </c>
      <c r="Q921" s="3">
        <f>Table2[[#This Row],[Gross_Profit]]/Table2[[#This Row],[Sales_Amount]]</f>
        <v>-9.3290392277178107</v>
      </c>
      <c r="R921" t="str">
        <f>TEXT(Table2[[#This Row],[Sale_Date]],"mmmm")</f>
        <v>January</v>
      </c>
      <c r="S921" s="4">
        <f>YEAR(Table2[[#This Row],[Sale_Date]])</f>
        <v>2023</v>
      </c>
    </row>
    <row r="922" spans="1:19" x14ac:dyDescent="0.35">
      <c r="A922">
        <v>1019</v>
      </c>
      <c r="B922" s="1">
        <v>45188</v>
      </c>
      <c r="C922" t="s">
        <v>33</v>
      </c>
      <c r="D922" t="s">
        <v>21</v>
      </c>
      <c r="E922">
        <v>6705.4</v>
      </c>
      <c r="F922">
        <v>45</v>
      </c>
      <c r="G922" t="s">
        <v>29</v>
      </c>
      <c r="H922">
        <v>2590.64</v>
      </c>
      <c r="I922">
        <v>3036.18</v>
      </c>
      <c r="J922" t="s">
        <v>30</v>
      </c>
      <c r="K922">
        <v>0.05</v>
      </c>
      <c r="L922" t="s">
        <v>27</v>
      </c>
      <c r="M922" t="s">
        <v>22</v>
      </c>
      <c r="N922" t="s">
        <v>37</v>
      </c>
      <c r="O922">
        <f>Table2[[#This Row],[Unit_Cost]]*Table2[[#This Row],[Quantity_Sold]]</f>
        <v>116578.79999999999</v>
      </c>
      <c r="P922">
        <f t="shared" si="14"/>
        <v>-109873.4</v>
      </c>
      <c r="Q922" s="3">
        <f>Table2[[#This Row],[Gross_Profit]]/Table2[[#This Row],[Sales_Amount]]</f>
        <v>-16.385808452888718</v>
      </c>
      <c r="R922" t="str">
        <f>TEXT(Table2[[#This Row],[Sale_Date]],"mmmm")</f>
        <v>September</v>
      </c>
      <c r="S922" s="4">
        <f>YEAR(Table2[[#This Row],[Sale_Date]])</f>
        <v>2023</v>
      </c>
    </row>
    <row r="923" spans="1:19" x14ac:dyDescent="0.35">
      <c r="A923">
        <v>1021</v>
      </c>
      <c r="B923" s="1">
        <v>44999</v>
      </c>
      <c r="C923" t="s">
        <v>24</v>
      </c>
      <c r="D923" t="s">
        <v>25</v>
      </c>
      <c r="E923">
        <v>7792.79</v>
      </c>
      <c r="F923">
        <v>23</v>
      </c>
      <c r="G923" t="s">
        <v>26</v>
      </c>
      <c r="H923">
        <v>580.75</v>
      </c>
      <c r="I923">
        <v>956.16</v>
      </c>
      <c r="J923" t="s">
        <v>17</v>
      </c>
      <c r="K923">
        <v>7.0000000000000007E-2</v>
      </c>
      <c r="L923" t="s">
        <v>18</v>
      </c>
      <c r="M923" t="s">
        <v>22</v>
      </c>
      <c r="N923" t="s">
        <v>28</v>
      </c>
      <c r="O923">
        <f>Table2[[#This Row],[Unit_Cost]]*Table2[[#This Row],[Quantity_Sold]]</f>
        <v>13357.25</v>
      </c>
      <c r="P923">
        <f t="shared" si="14"/>
        <v>-5564.46</v>
      </c>
      <c r="Q923" s="3">
        <f>Table2[[#This Row],[Gross_Profit]]/Table2[[#This Row],[Sales_Amount]]</f>
        <v>-0.71405234838870291</v>
      </c>
      <c r="R923" t="str">
        <f>TEXT(Table2[[#This Row],[Sale_Date]],"mmmm")</f>
        <v>March</v>
      </c>
      <c r="S923" s="4">
        <f>YEAR(Table2[[#This Row],[Sale_Date]])</f>
        <v>2023</v>
      </c>
    </row>
    <row r="924" spans="1:19" x14ac:dyDescent="0.35">
      <c r="A924">
        <v>1005</v>
      </c>
      <c r="B924" s="1">
        <v>45285</v>
      </c>
      <c r="C924" t="s">
        <v>42</v>
      </c>
      <c r="D924" t="s">
        <v>25</v>
      </c>
      <c r="E924">
        <v>8635.81</v>
      </c>
      <c r="F924">
        <v>28</v>
      </c>
      <c r="G924" t="s">
        <v>16</v>
      </c>
      <c r="H924">
        <v>2146.2399999999998</v>
      </c>
      <c r="I924">
        <v>2173.4699999999998</v>
      </c>
      <c r="J924" t="s">
        <v>17</v>
      </c>
      <c r="K924">
        <v>0.1</v>
      </c>
      <c r="L924" t="s">
        <v>18</v>
      </c>
      <c r="M924" t="s">
        <v>22</v>
      </c>
      <c r="N924" t="s">
        <v>43</v>
      </c>
      <c r="O924">
        <f>Table2[[#This Row],[Unit_Cost]]*Table2[[#This Row],[Quantity_Sold]]</f>
        <v>60094.719999999994</v>
      </c>
      <c r="P924">
        <f t="shared" si="14"/>
        <v>-51458.909999999996</v>
      </c>
      <c r="Q924" s="3">
        <f>Table2[[#This Row],[Gross_Profit]]/Table2[[#This Row],[Sales_Amount]]</f>
        <v>-5.9587820945574297</v>
      </c>
      <c r="R924" t="str">
        <f>TEXT(Table2[[#This Row],[Sale_Date]],"mmmm")</f>
        <v>December</v>
      </c>
      <c r="S924" s="4">
        <f>YEAR(Table2[[#This Row],[Sale_Date]])</f>
        <v>2023</v>
      </c>
    </row>
    <row r="925" spans="1:19" x14ac:dyDescent="0.35">
      <c r="A925">
        <v>1082</v>
      </c>
      <c r="B925" s="1">
        <v>45149</v>
      </c>
      <c r="C925" t="s">
        <v>33</v>
      </c>
      <c r="D925" t="s">
        <v>15</v>
      </c>
      <c r="E925">
        <v>3207.37</v>
      </c>
      <c r="F925">
        <v>43</v>
      </c>
      <c r="G925" t="s">
        <v>16</v>
      </c>
      <c r="H925">
        <v>2289.2199999999998</v>
      </c>
      <c r="I925">
        <v>2581</v>
      </c>
      <c r="J925" t="s">
        <v>30</v>
      </c>
      <c r="K925">
        <v>0.05</v>
      </c>
      <c r="L925" t="s">
        <v>27</v>
      </c>
      <c r="M925" t="s">
        <v>19</v>
      </c>
      <c r="N925" t="s">
        <v>53</v>
      </c>
      <c r="O925">
        <f>Table2[[#This Row],[Unit_Cost]]*Table2[[#This Row],[Quantity_Sold]]</f>
        <v>98436.459999999992</v>
      </c>
      <c r="P925">
        <f t="shared" si="14"/>
        <v>-95229.09</v>
      </c>
      <c r="Q925" s="3">
        <f>Table2[[#This Row],[Gross_Profit]]/Table2[[#This Row],[Sales_Amount]]</f>
        <v>-29.690709210349912</v>
      </c>
      <c r="R925" t="str">
        <f>TEXT(Table2[[#This Row],[Sale_Date]],"mmmm")</f>
        <v>August</v>
      </c>
      <c r="S925" s="4">
        <f>YEAR(Table2[[#This Row],[Sale_Date]])</f>
        <v>2023</v>
      </c>
    </row>
    <row r="926" spans="1:19" x14ac:dyDescent="0.35">
      <c r="A926">
        <v>1092</v>
      </c>
      <c r="B926" s="1">
        <v>44967</v>
      </c>
      <c r="C926" t="s">
        <v>14</v>
      </c>
      <c r="D926" t="s">
        <v>34</v>
      </c>
      <c r="E926">
        <v>5426.42</v>
      </c>
      <c r="F926">
        <v>47</v>
      </c>
      <c r="G926" t="s">
        <v>16</v>
      </c>
      <c r="H926">
        <v>3681.53</v>
      </c>
      <c r="I926">
        <v>4076.96</v>
      </c>
      <c r="J926" t="s">
        <v>17</v>
      </c>
      <c r="K926">
        <v>0.17</v>
      </c>
      <c r="L926" t="s">
        <v>18</v>
      </c>
      <c r="M926" t="s">
        <v>22</v>
      </c>
      <c r="N926" t="s">
        <v>46</v>
      </c>
      <c r="O926">
        <f>Table2[[#This Row],[Unit_Cost]]*Table2[[#This Row],[Quantity_Sold]]</f>
        <v>173031.91</v>
      </c>
      <c r="P926">
        <f t="shared" si="14"/>
        <v>-167605.49</v>
      </c>
      <c r="Q926" s="3">
        <f>Table2[[#This Row],[Gross_Profit]]/Table2[[#This Row],[Sales_Amount]]</f>
        <v>-30.886936506941961</v>
      </c>
      <c r="R926" t="str">
        <f>TEXT(Table2[[#This Row],[Sale_Date]],"mmmm")</f>
        <v>February</v>
      </c>
      <c r="S926" s="4">
        <f>YEAR(Table2[[#This Row],[Sale_Date]])</f>
        <v>2023</v>
      </c>
    </row>
    <row r="927" spans="1:19" x14ac:dyDescent="0.3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c r="O927">
        <f>Table2[[#This Row],[Unit_Cost]]*Table2[[#This Row],[Quantity_Sold]]</f>
        <v>109410.34</v>
      </c>
      <c r="P927">
        <f t="shared" si="14"/>
        <v>-100993.26999999999</v>
      </c>
      <c r="Q927" s="3">
        <f>Table2[[#This Row],[Gross_Profit]]/Table2[[#This Row],[Sales_Amount]]</f>
        <v>-11.998625412405978</v>
      </c>
      <c r="R927" t="str">
        <f>TEXT(Table2[[#This Row],[Sale_Date]],"mmmm")</f>
        <v>July</v>
      </c>
      <c r="S927" s="4">
        <f>YEAR(Table2[[#This Row],[Sale_Date]])</f>
        <v>2023</v>
      </c>
    </row>
    <row r="928" spans="1:19" x14ac:dyDescent="0.35">
      <c r="A928">
        <v>1061</v>
      </c>
      <c r="B928" s="1">
        <v>45190</v>
      </c>
      <c r="C928" t="s">
        <v>33</v>
      </c>
      <c r="D928" t="s">
        <v>25</v>
      </c>
      <c r="E928">
        <v>9895.57</v>
      </c>
      <c r="F928">
        <v>25</v>
      </c>
      <c r="G928" t="s">
        <v>26</v>
      </c>
      <c r="H928">
        <v>2747.66</v>
      </c>
      <c r="I928">
        <v>3027.0099999999902</v>
      </c>
      <c r="J928" t="s">
        <v>30</v>
      </c>
      <c r="K928">
        <v>0.23</v>
      </c>
      <c r="L928" t="s">
        <v>18</v>
      </c>
      <c r="M928" t="s">
        <v>19</v>
      </c>
      <c r="N928" t="s">
        <v>44</v>
      </c>
      <c r="O928">
        <f>Table2[[#This Row],[Unit_Cost]]*Table2[[#This Row],[Quantity_Sold]]</f>
        <v>68691.5</v>
      </c>
      <c r="P928">
        <f t="shared" si="14"/>
        <v>-58795.93</v>
      </c>
      <c r="Q928" s="3">
        <f>Table2[[#This Row],[Gross_Profit]]/Table2[[#This Row],[Sales_Amount]]</f>
        <v>-5.9416415628407462</v>
      </c>
      <c r="R928" t="str">
        <f>TEXT(Table2[[#This Row],[Sale_Date]],"mmmm")</f>
        <v>September</v>
      </c>
      <c r="S928" s="4">
        <f>YEAR(Table2[[#This Row],[Sale_Date]])</f>
        <v>2023</v>
      </c>
    </row>
    <row r="929" spans="1:19" x14ac:dyDescent="0.35">
      <c r="A929">
        <v>1022</v>
      </c>
      <c r="B929" s="1">
        <v>45254</v>
      </c>
      <c r="C929" t="s">
        <v>38</v>
      </c>
      <c r="D929" t="s">
        <v>21</v>
      </c>
      <c r="E929">
        <v>8906.24</v>
      </c>
      <c r="F929">
        <v>29</v>
      </c>
      <c r="G929" t="s">
        <v>16</v>
      </c>
      <c r="H929">
        <v>479.58</v>
      </c>
      <c r="I929">
        <v>909.88</v>
      </c>
      <c r="J929" t="s">
        <v>17</v>
      </c>
      <c r="K929">
        <v>0.13</v>
      </c>
      <c r="L929" t="s">
        <v>31</v>
      </c>
      <c r="M929" t="s">
        <v>22</v>
      </c>
      <c r="N929" t="s">
        <v>41</v>
      </c>
      <c r="O929">
        <f>Table2[[#This Row],[Unit_Cost]]*Table2[[#This Row],[Quantity_Sold]]</f>
        <v>13907.82</v>
      </c>
      <c r="P929">
        <f t="shared" si="14"/>
        <v>-5001.58</v>
      </c>
      <c r="Q929" s="3">
        <f>Table2[[#This Row],[Gross_Profit]]/Table2[[#This Row],[Sales_Amount]]</f>
        <v>-0.56158154282839901</v>
      </c>
      <c r="R929" t="str">
        <f>TEXT(Table2[[#This Row],[Sale_Date]],"mmmm")</f>
        <v>November</v>
      </c>
      <c r="S929" s="4">
        <f>YEAR(Table2[[#This Row],[Sale_Date]])</f>
        <v>2023</v>
      </c>
    </row>
    <row r="930" spans="1:19" x14ac:dyDescent="0.35">
      <c r="A930">
        <v>1021</v>
      </c>
      <c r="B930" s="1">
        <v>45104</v>
      </c>
      <c r="C930" t="s">
        <v>33</v>
      </c>
      <c r="D930" t="s">
        <v>15</v>
      </c>
      <c r="E930">
        <v>3777.53</v>
      </c>
      <c r="F930">
        <v>19</v>
      </c>
      <c r="G930" t="s">
        <v>35</v>
      </c>
      <c r="H930">
        <v>1222.4000000000001</v>
      </c>
      <c r="I930">
        <v>1464.71</v>
      </c>
      <c r="J930" t="s">
        <v>30</v>
      </c>
      <c r="K930">
        <v>0</v>
      </c>
      <c r="L930" t="s">
        <v>31</v>
      </c>
      <c r="M930" t="s">
        <v>22</v>
      </c>
      <c r="N930" t="s">
        <v>53</v>
      </c>
      <c r="O930">
        <f>Table2[[#This Row],[Unit_Cost]]*Table2[[#This Row],[Quantity_Sold]]</f>
        <v>23225.600000000002</v>
      </c>
      <c r="P930">
        <f t="shared" si="14"/>
        <v>-19448.070000000003</v>
      </c>
      <c r="Q930" s="3">
        <f>Table2[[#This Row],[Gross_Profit]]/Table2[[#This Row],[Sales_Amount]]</f>
        <v>-5.1483562010096549</v>
      </c>
      <c r="R930" t="str">
        <f>TEXT(Table2[[#This Row],[Sale_Date]],"mmmm")</f>
        <v>June</v>
      </c>
      <c r="S930" s="4">
        <f>YEAR(Table2[[#This Row],[Sale_Date]])</f>
        <v>2023</v>
      </c>
    </row>
    <row r="931" spans="1:19" x14ac:dyDescent="0.35">
      <c r="A931">
        <v>1070</v>
      </c>
      <c r="B931" s="1">
        <v>45274</v>
      </c>
      <c r="C931" t="s">
        <v>33</v>
      </c>
      <c r="D931" t="s">
        <v>25</v>
      </c>
      <c r="E931">
        <v>2032.15</v>
      </c>
      <c r="F931">
        <v>33</v>
      </c>
      <c r="G931" t="s">
        <v>26</v>
      </c>
      <c r="H931">
        <v>866.42</v>
      </c>
      <c r="I931">
        <v>878.43</v>
      </c>
      <c r="J931" t="s">
        <v>30</v>
      </c>
      <c r="K931">
        <v>0.09</v>
      </c>
      <c r="L931" t="s">
        <v>18</v>
      </c>
      <c r="M931" t="s">
        <v>22</v>
      </c>
      <c r="N931" t="s">
        <v>44</v>
      </c>
      <c r="O931">
        <f>Table2[[#This Row],[Unit_Cost]]*Table2[[#This Row],[Quantity_Sold]]</f>
        <v>28591.859999999997</v>
      </c>
      <c r="P931">
        <f t="shared" si="14"/>
        <v>-26559.709999999995</v>
      </c>
      <c r="Q931" s="3">
        <f>Table2[[#This Row],[Gross_Profit]]/Table2[[#This Row],[Sales_Amount]]</f>
        <v>-13.069758630022386</v>
      </c>
      <c r="R931" t="str">
        <f>TEXT(Table2[[#This Row],[Sale_Date]],"mmmm")</f>
        <v>December</v>
      </c>
      <c r="S931" s="4">
        <f>YEAR(Table2[[#This Row],[Sale_Date]])</f>
        <v>2023</v>
      </c>
    </row>
    <row r="932" spans="1:19" x14ac:dyDescent="0.35">
      <c r="A932">
        <v>1001</v>
      </c>
      <c r="B932" s="1">
        <v>45244</v>
      </c>
      <c r="C932" t="s">
        <v>24</v>
      </c>
      <c r="D932" t="s">
        <v>15</v>
      </c>
      <c r="E932">
        <v>4944.99</v>
      </c>
      <c r="F932">
        <v>36</v>
      </c>
      <c r="G932" t="s">
        <v>16</v>
      </c>
      <c r="H932">
        <v>666.84</v>
      </c>
      <c r="I932">
        <v>682.24</v>
      </c>
      <c r="J932" t="s">
        <v>30</v>
      </c>
      <c r="K932">
        <v>0.16</v>
      </c>
      <c r="L932" t="s">
        <v>27</v>
      </c>
      <c r="M932" t="s">
        <v>22</v>
      </c>
      <c r="N932" t="s">
        <v>45</v>
      </c>
      <c r="O932">
        <f>Table2[[#This Row],[Unit_Cost]]*Table2[[#This Row],[Quantity_Sold]]</f>
        <v>24006.240000000002</v>
      </c>
      <c r="P932">
        <f t="shared" si="14"/>
        <v>-19061.25</v>
      </c>
      <c r="Q932" s="3">
        <f>Table2[[#This Row],[Gross_Profit]]/Table2[[#This Row],[Sales_Amount]]</f>
        <v>-3.8546589578543133</v>
      </c>
      <c r="R932" t="str">
        <f>TEXT(Table2[[#This Row],[Sale_Date]],"mmmm")</f>
        <v>November</v>
      </c>
      <c r="S932" s="4">
        <f>YEAR(Table2[[#This Row],[Sale_Date]])</f>
        <v>2023</v>
      </c>
    </row>
    <row r="933" spans="1:19" x14ac:dyDescent="0.35">
      <c r="A933">
        <v>1005</v>
      </c>
      <c r="B933" s="1">
        <v>45010</v>
      </c>
      <c r="C933" t="s">
        <v>14</v>
      </c>
      <c r="D933" t="s">
        <v>21</v>
      </c>
      <c r="E933">
        <v>7442.25</v>
      </c>
      <c r="F933">
        <v>14</v>
      </c>
      <c r="G933" t="s">
        <v>29</v>
      </c>
      <c r="H933">
        <v>1861.2</v>
      </c>
      <c r="I933">
        <v>2075.35</v>
      </c>
      <c r="J933" t="s">
        <v>17</v>
      </c>
      <c r="K933">
        <v>0.1</v>
      </c>
      <c r="L933" t="s">
        <v>31</v>
      </c>
      <c r="M933" t="s">
        <v>22</v>
      </c>
      <c r="N933" t="s">
        <v>23</v>
      </c>
      <c r="O933">
        <f>Table2[[#This Row],[Unit_Cost]]*Table2[[#This Row],[Quantity_Sold]]</f>
        <v>26056.799999999999</v>
      </c>
      <c r="P933">
        <f t="shared" si="14"/>
        <v>-18614.55</v>
      </c>
      <c r="Q933" s="3">
        <f>Table2[[#This Row],[Gross_Profit]]/Table2[[#This Row],[Sales_Amount]]</f>
        <v>-2.5011992341025899</v>
      </c>
      <c r="R933" t="str">
        <f>TEXT(Table2[[#This Row],[Sale_Date]],"mmmm")</f>
        <v>March</v>
      </c>
      <c r="S933" s="4">
        <f>YEAR(Table2[[#This Row],[Sale_Date]])</f>
        <v>2023</v>
      </c>
    </row>
    <row r="934" spans="1:19" x14ac:dyDescent="0.35">
      <c r="A934">
        <v>1012</v>
      </c>
      <c r="B934" s="1">
        <v>45244</v>
      </c>
      <c r="C934" t="s">
        <v>24</v>
      </c>
      <c r="D934" t="s">
        <v>15</v>
      </c>
      <c r="E934">
        <v>4976.43</v>
      </c>
      <c r="F934">
        <v>14</v>
      </c>
      <c r="G934" t="s">
        <v>35</v>
      </c>
      <c r="H934">
        <v>1185.5</v>
      </c>
      <c r="I934">
        <v>1271.45</v>
      </c>
      <c r="J934" t="s">
        <v>17</v>
      </c>
      <c r="K934">
        <v>0.03</v>
      </c>
      <c r="L934" t="s">
        <v>27</v>
      </c>
      <c r="M934" t="s">
        <v>22</v>
      </c>
      <c r="N934" t="s">
        <v>45</v>
      </c>
      <c r="O934">
        <f>Table2[[#This Row],[Unit_Cost]]*Table2[[#This Row],[Quantity_Sold]]</f>
        <v>16597</v>
      </c>
      <c r="P934">
        <f t="shared" si="14"/>
        <v>-11620.57</v>
      </c>
      <c r="Q934" s="3">
        <f>Table2[[#This Row],[Gross_Profit]]/Table2[[#This Row],[Sales_Amount]]</f>
        <v>-2.3351217639954744</v>
      </c>
      <c r="R934" t="str">
        <f>TEXT(Table2[[#This Row],[Sale_Date]],"mmmm")</f>
        <v>November</v>
      </c>
      <c r="S934" s="4">
        <f>YEAR(Table2[[#This Row],[Sale_Date]])</f>
        <v>2023</v>
      </c>
    </row>
    <row r="935" spans="1:19" x14ac:dyDescent="0.35">
      <c r="A935">
        <v>1090</v>
      </c>
      <c r="B935" s="1">
        <v>45037</v>
      </c>
      <c r="C935" t="s">
        <v>24</v>
      </c>
      <c r="D935" t="s">
        <v>21</v>
      </c>
      <c r="E935">
        <v>4883.49</v>
      </c>
      <c r="F935">
        <v>35</v>
      </c>
      <c r="G935" t="s">
        <v>35</v>
      </c>
      <c r="H935">
        <v>1130.5999999999999</v>
      </c>
      <c r="I935">
        <v>1466.1799999999901</v>
      </c>
      <c r="J935" t="s">
        <v>17</v>
      </c>
      <c r="K935">
        <v>0.13</v>
      </c>
      <c r="L935" t="s">
        <v>18</v>
      </c>
      <c r="M935" t="s">
        <v>19</v>
      </c>
      <c r="N935" t="s">
        <v>47</v>
      </c>
      <c r="O935">
        <f>Table2[[#This Row],[Unit_Cost]]*Table2[[#This Row],[Quantity_Sold]]</f>
        <v>39571</v>
      </c>
      <c r="P935">
        <f t="shared" si="14"/>
        <v>-34687.51</v>
      </c>
      <c r="Q935" s="3">
        <f>Table2[[#This Row],[Gross_Profit]]/Table2[[#This Row],[Sales_Amount]]</f>
        <v>-7.1030164902559445</v>
      </c>
      <c r="R935" t="str">
        <f>TEXT(Table2[[#This Row],[Sale_Date]],"mmmm")</f>
        <v>April</v>
      </c>
      <c r="S935" s="4">
        <f>YEAR(Table2[[#This Row],[Sale_Date]])</f>
        <v>2023</v>
      </c>
    </row>
    <row r="936" spans="1:19" x14ac:dyDescent="0.35">
      <c r="A936">
        <v>1046</v>
      </c>
      <c r="B936" s="1">
        <v>45177</v>
      </c>
      <c r="C936" t="s">
        <v>42</v>
      </c>
      <c r="D936" t="s">
        <v>15</v>
      </c>
      <c r="E936">
        <v>8398.48</v>
      </c>
      <c r="F936">
        <v>30</v>
      </c>
      <c r="G936" t="s">
        <v>16</v>
      </c>
      <c r="H936">
        <v>320.73</v>
      </c>
      <c r="I936">
        <v>678.04</v>
      </c>
      <c r="J936" t="s">
        <v>17</v>
      </c>
      <c r="K936">
        <v>0.08</v>
      </c>
      <c r="L936" t="s">
        <v>18</v>
      </c>
      <c r="M936" t="s">
        <v>22</v>
      </c>
      <c r="N936" t="s">
        <v>49</v>
      </c>
      <c r="O936">
        <f>Table2[[#This Row],[Unit_Cost]]*Table2[[#This Row],[Quantity_Sold]]</f>
        <v>9621.9000000000015</v>
      </c>
      <c r="P936">
        <f t="shared" si="14"/>
        <v>-1223.4200000000019</v>
      </c>
      <c r="Q936" s="3">
        <f>Table2[[#This Row],[Gross_Profit]]/Table2[[#This Row],[Sales_Amount]]</f>
        <v>-0.14567159771768248</v>
      </c>
      <c r="R936" t="str">
        <f>TEXT(Table2[[#This Row],[Sale_Date]],"mmmm")</f>
        <v>September</v>
      </c>
      <c r="S936" s="4">
        <f>YEAR(Table2[[#This Row],[Sale_Date]])</f>
        <v>2023</v>
      </c>
    </row>
    <row r="937" spans="1:19" x14ac:dyDescent="0.35">
      <c r="A937">
        <v>1034</v>
      </c>
      <c r="B937" s="1">
        <v>44933</v>
      </c>
      <c r="C937" t="s">
        <v>24</v>
      </c>
      <c r="D937" t="s">
        <v>21</v>
      </c>
      <c r="E937">
        <v>3677.9</v>
      </c>
      <c r="F937">
        <v>28</v>
      </c>
      <c r="G937" t="s">
        <v>16</v>
      </c>
      <c r="H937">
        <v>137.47</v>
      </c>
      <c r="I937">
        <v>234.63</v>
      </c>
      <c r="J937" t="s">
        <v>30</v>
      </c>
      <c r="K937">
        <v>0.27</v>
      </c>
      <c r="L937" t="s">
        <v>27</v>
      </c>
      <c r="M937" t="s">
        <v>22</v>
      </c>
      <c r="N937" t="s">
        <v>47</v>
      </c>
      <c r="O937">
        <f>Table2[[#This Row],[Unit_Cost]]*Table2[[#This Row],[Quantity_Sold]]</f>
        <v>3849.16</v>
      </c>
      <c r="P937">
        <f t="shared" si="14"/>
        <v>-171.25999999999976</v>
      </c>
      <c r="Q937" s="3">
        <f>Table2[[#This Row],[Gross_Profit]]/Table2[[#This Row],[Sales_Amount]]</f>
        <v>-4.6564615677424551E-2</v>
      </c>
      <c r="R937" t="str">
        <f>TEXT(Table2[[#This Row],[Sale_Date]],"mmmm")</f>
        <v>January</v>
      </c>
      <c r="S937" s="4">
        <f>YEAR(Table2[[#This Row],[Sale_Date]])</f>
        <v>2023</v>
      </c>
    </row>
    <row r="938" spans="1:19" x14ac:dyDescent="0.35">
      <c r="A938">
        <v>1049</v>
      </c>
      <c r="B938" s="1">
        <v>45010</v>
      </c>
      <c r="C938" t="s">
        <v>38</v>
      </c>
      <c r="D938" t="s">
        <v>34</v>
      </c>
      <c r="E938">
        <v>8611.9699999999993</v>
      </c>
      <c r="F938">
        <v>17</v>
      </c>
      <c r="G938" t="s">
        <v>35</v>
      </c>
      <c r="H938">
        <v>558.70000000000005</v>
      </c>
      <c r="I938">
        <v>1004.08</v>
      </c>
      <c r="J938" t="s">
        <v>17</v>
      </c>
      <c r="K938">
        <v>0.03</v>
      </c>
      <c r="L938" t="s">
        <v>31</v>
      </c>
      <c r="M938" t="s">
        <v>19</v>
      </c>
      <c r="N938" t="s">
        <v>48</v>
      </c>
      <c r="O938">
        <f>Table2[[#This Row],[Unit_Cost]]*Table2[[#This Row],[Quantity_Sold]]</f>
        <v>9497.9000000000015</v>
      </c>
      <c r="P938">
        <f t="shared" si="14"/>
        <v>-885.93000000000211</v>
      </c>
      <c r="Q938" s="3">
        <f>Table2[[#This Row],[Gross_Profit]]/Table2[[#This Row],[Sales_Amount]]</f>
        <v>-0.10287193290269267</v>
      </c>
      <c r="R938" t="str">
        <f>TEXT(Table2[[#This Row],[Sale_Date]],"mmmm")</f>
        <v>March</v>
      </c>
      <c r="S938" s="4">
        <f>YEAR(Table2[[#This Row],[Sale_Date]])</f>
        <v>2023</v>
      </c>
    </row>
    <row r="939" spans="1:19" x14ac:dyDescent="0.35">
      <c r="A939">
        <v>1078</v>
      </c>
      <c r="B939" s="1">
        <v>45134</v>
      </c>
      <c r="C939" t="s">
        <v>38</v>
      </c>
      <c r="D939" t="s">
        <v>15</v>
      </c>
      <c r="E939">
        <v>4127.37</v>
      </c>
      <c r="F939">
        <v>3</v>
      </c>
      <c r="G939" t="s">
        <v>29</v>
      </c>
      <c r="H939">
        <v>902.38</v>
      </c>
      <c r="I939">
        <v>1128.9100000000001</v>
      </c>
      <c r="J939" t="s">
        <v>30</v>
      </c>
      <c r="K939">
        <v>0.01</v>
      </c>
      <c r="L939" t="s">
        <v>27</v>
      </c>
      <c r="M939" t="s">
        <v>22</v>
      </c>
      <c r="N939" t="s">
        <v>40</v>
      </c>
      <c r="O939">
        <f>Table2[[#This Row],[Unit_Cost]]*Table2[[#This Row],[Quantity_Sold]]</f>
        <v>2707.14</v>
      </c>
      <c r="P939">
        <f t="shared" si="14"/>
        <v>1420.23</v>
      </c>
      <c r="Q939" s="3">
        <f>Table2[[#This Row],[Gross_Profit]]/Table2[[#This Row],[Sales_Amount]]</f>
        <v>0.34410048045123165</v>
      </c>
      <c r="R939" t="str">
        <f>TEXT(Table2[[#This Row],[Sale_Date]],"mmmm")</f>
        <v>July</v>
      </c>
      <c r="S939" s="4">
        <f>YEAR(Table2[[#This Row],[Sale_Date]])</f>
        <v>2023</v>
      </c>
    </row>
    <row r="940" spans="1:19" x14ac:dyDescent="0.35">
      <c r="A940">
        <v>1090</v>
      </c>
      <c r="B940" s="1">
        <v>45240</v>
      </c>
      <c r="C940" t="s">
        <v>42</v>
      </c>
      <c r="D940" t="s">
        <v>15</v>
      </c>
      <c r="E940">
        <v>3349.51</v>
      </c>
      <c r="F940">
        <v>16</v>
      </c>
      <c r="G940" t="s">
        <v>29</v>
      </c>
      <c r="H940">
        <v>2183.37</v>
      </c>
      <c r="I940">
        <v>2263.3599999999901</v>
      </c>
      <c r="J940" t="s">
        <v>17</v>
      </c>
      <c r="K940">
        <v>0</v>
      </c>
      <c r="L940" t="s">
        <v>27</v>
      </c>
      <c r="M940" t="s">
        <v>22</v>
      </c>
      <c r="N940" t="s">
        <v>49</v>
      </c>
      <c r="O940">
        <f>Table2[[#This Row],[Unit_Cost]]*Table2[[#This Row],[Quantity_Sold]]</f>
        <v>34933.919999999998</v>
      </c>
      <c r="P940">
        <f t="shared" si="14"/>
        <v>-31584.409999999996</v>
      </c>
      <c r="Q940" s="3">
        <f>Table2[[#This Row],[Gross_Profit]]/Table2[[#This Row],[Sales_Amount]]</f>
        <v>-9.4295613388226922</v>
      </c>
      <c r="R940" t="str">
        <f>TEXT(Table2[[#This Row],[Sale_Date]],"mmmm")</f>
        <v>November</v>
      </c>
      <c r="S940" s="4">
        <f>YEAR(Table2[[#This Row],[Sale_Date]])</f>
        <v>2023</v>
      </c>
    </row>
    <row r="941" spans="1:19" x14ac:dyDescent="0.35">
      <c r="A941">
        <v>1045</v>
      </c>
      <c r="B941" s="1">
        <v>44948</v>
      </c>
      <c r="C941" t="s">
        <v>14</v>
      </c>
      <c r="D941" t="s">
        <v>34</v>
      </c>
      <c r="E941">
        <v>4594.5</v>
      </c>
      <c r="F941">
        <v>46</v>
      </c>
      <c r="G941" t="s">
        <v>26</v>
      </c>
      <c r="H941">
        <v>2577.08</v>
      </c>
      <c r="I941">
        <v>2961.56</v>
      </c>
      <c r="J941" t="s">
        <v>17</v>
      </c>
      <c r="K941">
        <v>0.1</v>
      </c>
      <c r="L941" t="s">
        <v>18</v>
      </c>
      <c r="M941" t="s">
        <v>19</v>
      </c>
      <c r="N941" t="s">
        <v>46</v>
      </c>
      <c r="O941">
        <f>Table2[[#This Row],[Unit_Cost]]*Table2[[#This Row],[Quantity_Sold]]</f>
        <v>118545.68</v>
      </c>
      <c r="P941">
        <f t="shared" si="14"/>
        <v>-113951.18</v>
      </c>
      <c r="Q941" s="3">
        <f>Table2[[#This Row],[Gross_Profit]]/Table2[[#This Row],[Sales_Amount]]</f>
        <v>-24.801649798672322</v>
      </c>
      <c r="R941" t="str">
        <f>TEXT(Table2[[#This Row],[Sale_Date]],"mmmm")</f>
        <v>January</v>
      </c>
      <c r="S941" s="4">
        <f>YEAR(Table2[[#This Row],[Sale_Date]])</f>
        <v>2023</v>
      </c>
    </row>
    <row r="942" spans="1:19" x14ac:dyDescent="0.35">
      <c r="A942">
        <v>1027</v>
      </c>
      <c r="B942" s="1">
        <v>44929</v>
      </c>
      <c r="C942" t="s">
        <v>14</v>
      </c>
      <c r="D942" t="s">
        <v>34</v>
      </c>
      <c r="E942">
        <v>7648.22</v>
      </c>
      <c r="F942">
        <v>30</v>
      </c>
      <c r="G942" t="s">
        <v>16</v>
      </c>
      <c r="H942">
        <v>745.93</v>
      </c>
      <c r="I942">
        <v>1143.02</v>
      </c>
      <c r="J942" t="s">
        <v>17</v>
      </c>
      <c r="K942">
        <v>0.2</v>
      </c>
      <c r="L942" t="s">
        <v>31</v>
      </c>
      <c r="M942" t="s">
        <v>19</v>
      </c>
      <c r="N942" t="s">
        <v>46</v>
      </c>
      <c r="O942">
        <f>Table2[[#This Row],[Unit_Cost]]*Table2[[#This Row],[Quantity_Sold]]</f>
        <v>22377.899999999998</v>
      </c>
      <c r="P942">
        <f t="shared" si="14"/>
        <v>-14729.679999999997</v>
      </c>
      <c r="Q942" s="3">
        <f>Table2[[#This Row],[Gross_Profit]]/Table2[[#This Row],[Sales_Amount]]</f>
        <v>-1.9258964831032575</v>
      </c>
      <c r="R942" t="str">
        <f>TEXT(Table2[[#This Row],[Sale_Date]],"mmmm")</f>
        <v>January</v>
      </c>
      <c r="S942" s="4">
        <f>YEAR(Table2[[#This Row],[Sale_Date]])</f>
        <v>2023</v>
      </c>
    </row>
    <row r="943" spans="1:19" x14ac:dyDescent="0.35">
      <c r="A943">
        <v>1073</v>
      </c>
      <c r="B943" s="1">
        <v>45053</v>
      </c>
      <c r="C943" t="s">
        <v>24</v>
      </c>
      <c r="D943" t="s">
        <v>15</v>
      </c>
      <c r="E943">
        <v>1347.42</v>
      </c>
      <c r="F943">
        <v>29</v>
      </c>
      <c r="G943" t="s">
        <v>29</v>
      </c>
      <c r="H943">
        <v>2152.6799999999998</v>
      </c>
      <c r="I943">
        <v>2475.9299999999998</v>
      </c>
      <c r="J943" t="s">
        <v>17</v>
      </c>
      <c r="K943">
        <v>0.22</v>
      </c>
      <c r="L943" t="s">
        <v>27</v>
      </c>
      <c r="M943" t="s">
        <v>19</v>
      </c>
      <c r="N943" t="s">
        <v>45</v>
      </c>
      <c r="O943">
        <f>Table2[[#This Row],[Unit_Cost]]*Table2[[#This Row],[Quantity_Sold]]</f>
        <v>62427.719999999994</v>
      </c>
      <c r="P943">
        <f t="shared" si="14"/>
        <v>-61080.299999999996</v>
      </c>
      <c r="Q943" s="3">
        <f>Table2[[#This Row],[Gross_Profit]]/Table2[[#This Row],[Sales_Amount]]</f>
        <v>-45.331299817428857</v>
      </c>
      <c r="R943" t="str">
        <f>TEXT(Table2[[#This Row],[Sale_Date]],"mmmm")</f>
        <v>May</v>
      </c>
      <c r="S943" s="4">
        <f>YEAR(Table2[[#This Row],[Sale_Date]])</f>
        <v>2023</v>
      </c>
    </row>
    <row r="944" spans="1:19" x14ac:dyDescent="0.35">
      <c r="A944">
        <v>1026</v>
      </c>
      <c r="B944" s="1">
        <v>45223</v>
      </c>
      <c r="C944" t="s">
        <v>24</v>
      </c>
      <c r="D944" t="s">
        <v>34</v>
      </c>
      <c r="E944">
        <v>2044.55</v>
      </c>
      <c r="F944">
        <v>45</v>
      </c>
      <c r="G944" t="s">
        <v>26</v>
      </c>
      <c r="H944">
        <v>1741.66</v>
      </c>
      <c r="I944">
        <v>2169.86</v>
      </c>
      <c r="J944" t="s">
        <v>17</v>
      </c>
      <c r="K944">
        <v>0.14000000000000001</v>
      </c>
      <c r="L944" t="s">
        <v>31</v>
      </c>
      <c r="M944" t="s">
        <v>19</v>
      </c>
      <c r="N944" t="s">
        <v>50</v>
      </c>
      <c r="O944">
        <f>Table2[[#This Row],[Unit_Cost]]*Table2[[#This Row],[Quantity_Sold]]</f>
        <v>78374.7</v>
      </c>
      <c r="P944">
        <f t="shared" si="14"/>
        <v>-76330.149999999994</v>
      </c>
      <c r="Q944" s="3">
        <f>Table2[[#This Row],[Gross_Profit]]/Table2[[#This Row],[Sales_Amount]]</f>
        <v>-37.333471913134915</v>
      </c>
      <c r="R944" t="str">
        <f>TEXT(Table2[[#This Row],[Sale_Date]],"mmmm")</f>
        <v>October</v>
      </c>
      <c r="S944" s="4">
        <f>YEAR(Table2[[#This Row],[Sale_Date]])</f>
        <v>2023</v>
      </c>
    </row>
    <row r="945" spans="1:19" x14ac:dyDescent="0.35">
      <c r="A945">
        <v>1047</v>
      </c>
      <c r="B945" s="1">
        <v>45114</v>
      </c>
      <c r="C945" t="s">
        <v>24</v>
      </c>
      <c r="D945" t="s">
        <v>25</v>
      </c>
      <c r="E945">
        <v>9519.2999999999993</v>
      </c>
      <c r="F945">
        <v>15</v>
      </c>
      <c r="G945" t="s">
        <v>29</v>
      </c>
      <c r="H945">
        <v>957.95</v>
      </c>
      <c r="I945">
        <v>1329.26</v>
      </c>
      <c r="J945" t="s">
        <v>30</v>
      </c>
      <c r="K945">
        <v>0.21</v>
      </c>
      <c r="L945" t="s">
        <v>18</v>
      </c>
      <c r="M945" t="s">
        <v>19</v>
      </c>
      <c r="N945" t="s">
        <v>28</v>
      </c>
      <c r="O945">
        <f>Table2[[#This Row],[Unit_Cost]]*Table2[[#This Row],[Quantity_Sold]]</f>
        <v>14369.25</v>
      </c>
      <c r="P945">
        <f t="shared" si="14"/>
        <v>-4849.9500000000007</v>
      </c>
      <c r="Q945" s="3">
        <f>Table2[[#This Row],[Gross_Profit]]/Table2[[#This Row],[Sales_Amount]]</f>
        <v>-0.50948599161703079</v>
      </c>
      <c r="R945" t="str">
        <f>TEXT(Table2[[#This Row],[Sale_Date]],"mmmm")</f>
        <v>July</v>
      </c>
      <c r="S945" s="4">
        <f>YEAR(Table2[[#This Row],[Sale_Date]])</f>
        <v>2023</v>
      </c>
    </row>
    <row r="946" spans="1:19" x14ac:dyDescent="0.35">
      <c r="A946">
        <v>1086</v>
      </c>
      <c r="B946" s="1">
        <v>45288</v>
      </c>
      <c r="C946" t="s">
        <v>14</v>
      </c>
      <c r="D946" t="s">
        <v>21</v>
      </c>
      <c r="E946">
        <v>1837.37</v>
      </c>
      <c r="F946">
        <v>46</v>
      </c>
      <c r="G946" t="s">
        <v>16</v>
      </c>
      <c r="H946">
        <v>83.86</v>
      </c>
      <c r="I946">
        <v>526.14</v>
      </c>
      <c r="J946" t="s">
        <v>17</v>
      </c>
      <c r="K946">
        <v>0.11</v>
      </c>
      <c r="L946" t="s">
        <v>31</v>
      </c>
      <c r="M946" t="s">
        <v>19</v>
      </c>
      <c r="N946" t="s">
        <v>23</v>
      </c>
      <c r="O946">
        <f>Table2[[#This Row],[Unit_Cost]]*Table2[[#This Row],[Quantity_Sold]]</f>
        <v>3857.56</v>
      </c>
      <c r="P946">
        <f t="shared" si="14"/>
        <v>-2020.19</v>
      </c>
      <c r="Q946" s="3">
        <f>Table2[[#This Row],[Gross_Profit]]/Table2[[#This Row],[Sales_Amount]]</f>
        <v>-1.0995009170716841</v>
      </c>
      <c r="R946" t="str">
        <f>TEXT(Table2[[#This Row],[Sale_Date]],"mmmm")</f>
        <v>December</v>
      </c>
      <c r="S946" s="4">
        <f>YEAR(Table2[[#This Row],[Sale_Date]])</f>
        <v>2023</v>
      </c>
    </row>
    <row r="947" spans="1:19" x14ac:dyDescent="0.35">
      <c r="A947">
        <v>1056</v>
      </c>
      <c r="B947" s="1">
        <v>44940</v>
      </c>
      <c r="C947" t="s">
        <v>33</v>
      </c>
      <c r="D947" t="s">
        <v>21</v>
      </c>
      <c r="E947">
        <v>5720.5</v>
      </c>
      <c r="F947">
        <v>25</v>
      </c>
      <c r="G947" t="s">
        <v>26</v>
      </c>
      <c r="H947">
        <v>2361.7399999999998</v>
      </c>
      <c r="I947">
        <v>2584.35</v>
      </c>
      <c r="J947" t="s">
        <v>17</v>
      </c>
      <c r="K947">
        <v>0.2</v>
      </c>
      <c r="L947" t="s">
        <v>18</v>
      </c>
      <c r="M947" t="s">
        <v>19</v>
      </c>
      <c r="N947" t="s">
        <v>37</v>
      </c>
      <c r="O947">
        <f>Table2[[#This Row],[Unit_Cost]]*Table2[[#This Row],[Quantity_Sold]]</f>
        <v>59043.499999999993</v>
      </c>
      <c r="P947">
        <f t="shared" si="14"/>
        <v>-53322.999999999993</v>
      </c>
      <c r="Q947" s="3">
        <f>Table2[[#This Row],[Gross_Profit]]/Table2[[#This Row],[Sales_Amount]]</f>
        <v>-9.3213879905602646</v>
      </c>
      <c r="R947" t="str">
        <f>TEXT(Table2[[#This Row],[Sale_Date]],"mmmm")</f>
        <v>January</v>
      </c>
      <c r="S947" s="4">
        <f>YEAR(Table2[[#This Row],[Sale_Date]])</f>
        <v>2023</v>
      </c>
    </row>
    <row r="948" spans="1:19" x14ac:dyDescent="0.35">
      <c r="A948">
        <v>1094</v>
      </c>
      <c r="B948" s="1">
        <v>44938</v>
      </c>
      <c r="C948" t="s">
        <v>38</v>
      </c>
      <c r="D948" t="s">
        <v>21</v>
      </c>
      <c r="E948">
        <v>5835.21</v>
      </c>
      <c r="F948">
        <v>38</v>
      </c>
      <c r="G948" t="s">
        <v>26</v>
      </c>
      <c r="H948">
        <v>3443.98</v>
      </c>
      <c r="I948">
        <v>3820.3</v>
      </c>
      <c r="J948" t="s">
        <v>17</v>
      </c>
      <c r="K948">
        <v>0.01</v>
      </c>
      <c r="L948" t="s">
        <v>31</v>
      </c>
      <c r="M948" t="s">
        <v>22</v>
      </c>
      <c r="N948" t="s">
        <v>41</v>
      </c>
      <c r="O948">
        <f>Table2[[#This Row],[Unit_Cost]]*Table2[[#This Row],[Quantity_Sold]]</f>
        <v>130871.24</v>
      </c>
      <c r="P948">
        <f t="shared" si="14"/>
        <v>-125036.03</v>
      </c>
      <c r="Q948" s="3">
        <f>Table2[[#This Row],[Gross_Profit]]/Table2[[#This Row],[Sales_Amount]]</f>
        <v>-21.42785435314239</v>
      </c>
      <c r="R948" t="str">
        <f>TEXT(Table2[[#This Row],[Sale_Date]],"mmmm")</f>
        <v>January</v>
      </c>
      <c r="S948" s="4">
        <f>YEAR(Table2[[#This Row],[Sale_Date]])</f>
        <v>2023</v>
      </c>
    </row>
    <row r="949" spans="1:19" x14ac:dyDescent="0.35">
      <c r="A949">
        <v>1063</v>
      </c>
      <c r="B949" s="1">
        <v>45013</v>
      </c>
      <c r="C949" t="s">
        <v>33</v>
      </c>
      <c r="D949" t="s">
        <v>25</v>
      </c>
      <c r="E949">
        <v>4947.28</v>
      </c>
      <c r="F949">
        <v>42</v>
      </c>
      <c r="G949" t="s">
        <v>26</v>
      </c>
      <c r="H949">
        <v>1170.07</v>
      </c>
      <c r="I949">
        <v>1669.94999999999</v>
      </c>
      <c r="J949" t="s">
        <v>17</v>
      </c>
      <c r="K949">
        <v>0.12</v>
      </c>
      <c r="L949" t="s">
        <v>27</v>
      </c>
      <c r="M949" t="s">
        <v>22</v>
      </c>
      <c r="N949" t="s">
        <v>44</v>
      </c>
      <c r="O949">
        <f>Table2[[#This Row],[Unit_Cost]]*Table2[[#This Row],[Quantity_Sold]]</f>
        <v>49142.939999999995</v>
      </c>
      <c r="P949">
        <f t="shared" si="14"/>
        <v>-44195.659999999996</v>
      </c>
      <c r="Q949" s="3">
        <f>Table2[[#This Row],[Gross_Profit]]/Table2[[#This Row],[Sales_Amount]]</f>
        <v>-8.9333249785740847</v>
      </c>
      <c r="R949" t="str">
        <f>TEXT(Table2[[#This Row],[Sale_Date]],"mmmm")</f>
        <v>March</v>
      </c>
      <c r="S949" s="4">
        <f>YEAR(Table2[[#This Row],[Sale_Date]])</f>
        <v>2023</v>
      </c>
    </row>
    <row r="950" spans="1:19" x14ac:dyDescent="0.35">
      <c r="A950">
        <v>1048</v>
      </c>
      <c r="B950" s="1">
        <v>44938</v>
      </c>
      <c r="C950" t="s">
        <v>33</v>
      </c>
      <c r="D950" t="s">
        <v>34</v>
      </c>
      <c r="E950">
        <v>6482.98</v>
      </c>
      <c r="F950">
        <v>47</v>
      </c>
      <c r="G950" t="s">
        <v>29</v>
      </c>
      <c r="H950">
        <v>702.44</v>
      </c>
      <c r="I950">
        <v>1067.6600000000001</v>
      </c>
      <c r="J950" t="s">
        <v>30</v>
      </c>
      <c r="K950">
        <v>0.24</v>
      </c>
      <c r="L950" t="s">
        <v>18</v>
      </c>
      <c r="M950" t="s">
        <v>22</v>
      </c>
      <c r="N950" t="s">
        <v>36</v>
      </c>
      <c r="O950">
        <f>Table2[[#This Row],[Unit_Cost]]*Table2[[#This Row],[Quantity_Sold]]</f>
        <v>33014.68</v>
      </c>
      <c r="P950">
        <f t="shared" si="14"/>
        <v>-26531.7</v>
      </c>
      <c r="Q950" s="3">
        <f>Table2[[#This Row],[Gross_Profit]]/Table2[[#This Row],[Sales_Amount]]</f>
        <v>-4.0925160959928926</v>
      </c>
      <c r="R950" t="str">
        <f>TEXT(Table2[[#This Row],[Sale_Date]],"mmmm")</f>
        <v>January</v>
      </c>
      <c r="S950" s="4">
        <f>YEAR(Table2[[#This Row],[Sale_Date]])</f>
        <v>2023</v>
      </c>
    </row>
    <row r="951" spans="1:19" x14ac:dyDescent="0.3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c r="O951">
        <f>Table2[[#This Row],[Unit_Cost]]*Table2[[#This Row],[Quantity_Sold]]</f>
        <v>168752.68</v>
      </c>
      <c r="P951">
        <f t="shared" si="14"/>
        <v>-166377.4</v>
      </c>
      <c r="Q951" s="3">
        <f>Table2[[#This Row],[Gross_Profit]]/Table2[[#This Row],[Sales_Amount]]</f>
        <v>-70.045384123134951</v>
      </c>
      <c r="R951" t="str">
        <f>TEXT(Table2[[#This Row],[Sale_Date]],"mmmm")</f>
        <v>January</v>
      </c>
      <c r="S951" s="4">
        <f>YEAR(Table2[[#This Row],[Sale_Date]])</f>
        <v>2023</v>
      </c>
    </row>
    <row r="952" spans="1:19" x14ac:dyDescent="0.35">
      <c r="A952">
        <v>1081</v>
      </c>
      <c r="B952" s="1">
        <v>45227</v>
      </c>
      <c r="C952" t="s">
        <v>33</v>
      </c>
      <c r="D952" t="s">
        <v>15</v>
      </c>
      <c r="E952">
        <v>5571.36</v>
      </c>
      <c r="F952">
        <v>23</v>
      </c>
      <c r="G952" t="s">
        <v>26</v>
      </c>
      <c r="H952">
        <v>1411.37</v>
      </c>
      <c r="I952">
        <v>1675.35</v>
      </c>
      <c r="J952" t="s">
        <v>30</v>
      </c>
      <c r="K952">
        <v>0.21</v>
      </c>
      <c r="L952" t="s">
        <v>18</v>
      </c>
      <c r="M952" t="s">
        <v>22</v>
      </c>
      <c r="N952" t="s">
        <v>53</v>
      </c>
      <c r="O952">
        <f>Table2[[#This Row],[Unit_Cost]]*Table2[[#This Row],[Quantity_Sold]]</f>
        <v>32461.51</v>
      </c>
      <c r="P952">
        <f t="shared" si="14"/>
        <v>-26890.149999999998</v>
      </c>
      <c r="Q952" s="3">
        <f>Table2[[#This Row],[Gross_Profit]]/Table2[[#This Row],[Sales_Amount]]</f>
        <v>-4.8264965825220409</v>
      </c>
      <c r="R952" t="str">
        <f>TEXT(Table2[[#This Row],[Sale_Date]],"mmmm")</f>
        <v>October</v>
      </c>
      <c r="S952" s="4">
        <f>YEAR(Table2[[#This Row],[Sale_Date]])</f>
        <v>2023</v>
      </c>
    </row>
    <row r="953" spans="1:19" x14ac:dyDescent="0.35">
      <c r="A953">
        <v>1026</v>
      </c>
      <c r="B953" s="1">
        <v>45169</v>
      </c>
      <c r="C953" t="s">
        <v>42</v>
      </c>
      <c r="D953" t="s">
        <v>34</v>
      </c>
      <c r="E953">
        <v>3784.52</v>
      </c>
      <c r="F953">
        <v>25</v>
      </c>
      <c r="G953" t="s">
        <v>35</v>
      </c>
      <c r="H953">
        <v>1156.8800000000001</v>
      </c>
      <c r="I953">
        <v>1454.68</v>
      </c>
      <c r="J953" t="s">
        <v>17</v>
      </c>
      <c r="K953">
        <v>0.06</v>
      </c>
      <c r="L953" t="s">
        <v>31</v>
      </c>
      <c r="M953" t="s">
        <v>19</v>
      </c>
      <c r="N953" t="s">
        <v>52</v>
      </c>
      <c r="O953">
        <f>Table2[[#This Row],[Unit_Cost]]*Table2[[#This Row],[Quantity_Sold]]</f>
        <v>28922.000000000004</v>
      </c>
      <c r="P953">
        <f t="shared" si="14"/>
        <v>-25137.480000000003</v>
      </c>
      <c r="Q953" s="3">
        <f>Table2[[#This Row],[Gross_Profit]]/Table2[[#This Row],[Sales_Amount]]</f>
        <v>-6.642184477820174</v>
      </c>
      <c r="R953" t="str">
        <f>TEXT(Table2[[#This Row],[Sale_Date]],"mmmm")</f>
        <v>August</v>
      </c>
      <c r="S953" s="4">
        <f>YEAR(Table2[[#This Row],[Sale_Date]])</f>
        <v>2023</v>
      </c>
    </row>
    <row r="954" spans="1:19" x14ac:dyDescent="0.35">
      <c r="A954">
        <v>1036</v>
      </c>
      <c r="B954" s="1">
        <v>45048</v>
      </c>
      <c r="C954" t="s">
        <v>24</v>
      </c>
      <c r="D954" t="s">
        <v>15</v>
      </c>
      <c r="E954">
        <v>6650.51</v>
      </c>
      <c r="F954">
        <v>42</v>
      </c>
      <c r="G954" t="s">
        <v>16</v>
      </c>
      <c r="H954">
        <v>4292.63</v>
      </c>
      <c r="I954">
        <v>4387.99</v>
      </c>
      <c r="J954" t="s">
        <v>30</v>
      </c>
      <c r="K954">
        <v>7.0000000000000007E-2</v>
      </c>
      <c r="L954" t="s">
        <v>31</v>
      </c>
      <c r="M954" t="s">
        <v>22</v>
      </c>
      <c r="N954" t="s">
        <v>45</v>
      </c>
      <c r="O954">
        <f>Table2[[#This Row],[Unit_Cost]]*Table2[[#This Row],[Quantity_Sold]]</f>
        <v>180290.46</v>
      </c>
      <c r="P954">
        <f t="shared" si="14"/>
        <v>-173639.94999999998</v>
      </c>
      <c r="Q954" s="3">
        <f>Table2[[#This Row],[Gross_Profit]]/Table2[[#This Row],[Sales_Amount]]</f>
        <v>-26.109268311753532</v>
      </c>
      <c r="R954" t="str">
        <f>TEXT(Table2[[#This Row],[Sale_Date]],"mmmm")</f>
        <v>May</v>
      </c>
      <c r="S954" s="4">
        <f>YEAR(Table2[[#This Row],[Sale_Date]])</f>
        <v>2023</v>
      </c>
    </row>
    <row r="955" spans="1:19" x14ac:dyDescent="0.35">
      <c r="A955">
        <v>1001</v>
      </c>
      <c r="B955" s="1">
        <v>45073</v>
      </c>
      <c r="C955" t="s">
        <v>42</v>
      </c>
      <c r="D955" t="s">
        <v>25</v>
      </c>
      <c r="E955">
        <v>1498.11</v>
      </c>
      <c r="F955">
        <v>7</v>
      </c>
      <c r="G955" t="s">
        <v>35</v>
      </c>
      <c r="H955">
        <v>4094.68</v>
      </c>
      <c r="I955">
        <v>4576.5</v>
      </c>
      <c r="J955" t="s">
        <v>30</v>
      </c>
      <c r="K955">
        <v>0.3</v>
      </c>
      <c r="L955" t="s">
        <v>18</v>
      </c>
      <c r="M955" t="s">
        <v>22</v>
      </c>
      <c r="N955" t="s">
        <v>43</v>
      </c>
      <c r="O955">
        <f>Table2[[#This Row],[Unit_Cost]]*Table2[[#This Row],[Quantity_Sold]]</f>
        <v>28662.76</v>
      </c>
      <c r="P955">
        <f t="shared" si="14"/>
        <v>-27164.649999999998</v>
      </c>
      <c r="Q955" s="3">
        <f>Table2[[#This Row],[Gross_Profit]]/Table2[[#This Row],[Sales_Amount]]</f>
        <v>-18.132613760004272</v>
      </c>
      <c r="R955" t="str">
        <f>TEXT(Table2[[#This Row],[Sale_Date]],"mmmm")</f>
        <v>May</v>
      </c>
      <c r="S955" s="4">
        <f>YEAR(Table2[[#This Row],[Sale_Date]])</f>
        <v>2023</v>
      </c>
    </row>
    <row r="956" spans="1:19" x14ac:dyDescent="0.35">
      <c r="A956">
        <v>1008</v>
      </c>
      <c r="B956" s="1">
        <v>44981</v>
      </c>
      <c r="C956" t="s">
        <v>38</v>
      </c>
      <c r="D956" t="s">
        <v>21</v>
      </c>
      <c r="E956">
        <v>5751.69</v>
      </c>
      <c r="F956">
        <v>22</v>
      </c>
      <c r="G956" t="s">
        <v>35</v>
      </c>
      <c r="H956">
        <v>2269.3200000000002</v>
      </c>
      <c r="I956">
        <v>2365.35</v>
      </c>
      <c r="J956" t="s">
        <v>30</v>
      </c>
      <c r="K956">
        <v>0.03</v>
      </c>
      <c r="L956" t="s">
        <v>18</v>
      </c>
      <c r="M956" t="s">
        <v>22</v>
      </c>
      <c r="N956" t="s">
        <v>41</v>
      </c>
      <c r="O956">
        <f>Table2[[#This Row],[Unit_Cost]]*Table2[[#This Row],[Quantity_Sold]]</f>
        <v>49925.04</v>
      </c>
      <c r="P956">
        <f t="shared" si="14"/>
        <v>-44173.35</v>
      </c>
      <c r="Q956" s="3">
        <f>Table2[[#This Row],[Gross_Profit]]/Table2[[#This Row],[Sales_Amount]]</f>
        <v>-7.680064468008533</v>
      </c>
      <c r="R956" t="str">
        <f>TEXT(Table2[[#This Row],[Sale_Date]],"mmmm")</f>
        <v>February</v>
      </c>
      <c r="S956" s="4">
        <f>YEAR(Table2[[#This Row],[Sale_Date]])</f>
        <v>2023</v>
      </c>
    </row>
    <row r="957" spans="1:19" x14ac:dyDescent="0.35">
      <c r="A957">
        <v>1099</v>
      </c>
      <c r="B957" s="1">
        <v>45164</v>
      </c>
      <c r="C957" t="s">
        <v>24</v>
      </c>
      <c r="D957" t="s">
        <v>21</v>
      </c>
      <c r="E957">
        <v>1934.18</v>
      </c>
      <c r="F957">
        <v>17</v>
      </c>
      <c r="G957" t="s">
        <v>26</v>
      </c>
      <c r="H957">
        <v>2471.73</v>
      </c>
      <c r="I957">
        <v>2568.73</v>
      </c>
      <c r="J957" t="s">
        <v>30</v>
      </c>
      <c r="K957">
        <v>0.05</v>
      </c>
      <c r="L957" t="s">
        <v>18</v>
      </c>
      <c r="M957" t="s">
        <v>22</v>
      </c>
      <c r="N957" t="s">
        <v>47</v>
      </c>
      <c r="O957">
        <f>Table2[[#This Row],[Unit_Cost]]*Table2[[#This Row],[Quantity_Sold]]</f>
        <v>42019.41</v>
      </c>
      <c r="P957">
        <f t="shared" si="14"/>
        <v>-40085.230000000003</v>
      </c>
      <c r="Q957" s="3">
        <f>Table2[[#This Row],[Gross_Profit]]/Table2[[#This Row],[Sales_Amount]]</f>
        <v>-20.724663681766952</v>
      </c>
      <c r="R957" t="str">
        <f>TEXT(Table2[[#This Row],[Sale_Date]],"mmmm")</f>
        <v>August</v>
      </c>
      <c r="S957" s="4">
        <f>YEAR(Table2[[#This Row],[Sale_Date]])</f>
        <v>2023</v>
      </c>
    </row>
    <row r="958" spans="1:19" x14ac:dyDescent="0.35">
      <c r="A958">
        <v>1052</v>
      </c>
      <c r="B958" s="1">
        <v>45282</v>
      </c>
      <c r="C958" t="s">
        <v>33</v>
      </c>
      <c r="D958" t="s">
        <v>21</v>
      </c>
      <c r="E958">
        <v>2858.57</v>
      </c>
      <c r="F958">
        <v>18</v>
      </c>
      <c r="G958" t="s">
        <v>26</v>
      </c>
      <c r="H958">
        <v>1127.8599999999999</v>
      </c>
      <c r="I958">
        <v>1586.29</v>
      </c>
      <c r="J958" t="s">
        <v>30</v>
      </c>
      <c r="K958">
        <v>0.04</v>
      </c>
      <c r="L958" t="s">
        <v>31</v>
      </c>
      <c r="M958" t="s">
        <v>19</v>
      </c>
      <c r="N958" t="s">
        <v>37</v>
      </c>
      <c r="O958">
        <f>Table2[[#This Row],[Unit_Cost]]*Table2[[#This Row],[Quantity_Sold]]</f>
        <v>20301.48</v>
      </c>
      <c r="P958">
        <f t="shared" si="14"/>
        <v>-17442.91</v>
      </c>
      <c r="Q958" s="3">
        <f>Table2[[#This Row],[Gross_Profit]]/Table2[[#This Row],[Sales_Amount]]</f>
        <v>-6.1019705657024312</v>
      </c>
      <c r="R958" t="str">
        <f>TEXT(Table2[[#This Row],[Sale_Date]],"mmmm")</f>
        <v>December</v>
      </c>
      <c r="S958" s="4">
        <f>YEAR(Table2[[#This Row],[Sale_Date]])</f>
        <v>2023</v>
      </c>
    </row>
    <row r="959" spans="1:19" x14ac:dyDescent="0.35">
      <c r="A959">
        <v>1079</v>
      </c>
      <c r="B959" s="1">
        <v>45099</v>
      </c>
      <c r="C959" t="s">
        <v>38</v>
      </c>
      <c r="D959" t="s">
        <v>34</v>
      </c>
      <c r="E959">
        <v>2265.23</v>
      </c>
      <c r="F959">
        <v>49</v>
      </c>
      <c r="G959" t="s">
        <v>29</v>
      </c>
      <c r="H959">
        <v>437.59</v>
      </c>
      <c r="I959">
        <v>675.54</v>
      </c>
      <c r="J959" t="s">
        <v>17</v>
      </c>
      <c r="K959">
        <v>0.1</v>
      </c>
      <c r="L959" t="s">
        <v>18</v>
      </c>
      <c r="M959" t="s">
        <v>19</v>
      </c>
      <c r="N959" t="s">
        <v>48</v>
      </c>
      <c r="O959">
        <f>Table2[[#This Row],[Unit_Cost]]*Table2[[#This Row],[Quantity_Sold]]</f>
        <v>21441.91</v>
      </c>
      <c r="P959">
        <f t="shared" si="14"/>
        <v>-19176.68</v>
      </c>
      <c r="Q959" s="3">
        <f>Table2[[#This Row],[Gross_Profit]]/Table2[[#This Row],[Sales_Amount]]</f>
        <v>-8.4656657381369662</v>
      </c>
      <c r="R959" t="str">
        <f>TEXT(Table2[[#This Row],[Sale_Date]],"mmmm")</f>
        <v>June</v>
      </c>
      <c r="S959" s="4">
        <f>YEAR(Table2[[#This Row],[Sale_Date]])</f>
        <v>2023</v>
      </c>
    </row>
    <row r="960" spans="1:19" x14ac:dyDescent="0.35">
      <c r="A960">
        <v>1047</v>
      </c>
      <c r="B960" s="1">
        <v>45147</v>
      </c>
      <c r="C960" t="s">
        <v>24</v>
      </c>
      <c r="D960" t="s">
        <v>15</v>
      </c>
      <c r="E960">
        <v>1910.09</v>
      </c>
      <c r="F960">
        <v>41</v>
      </c>
      <c r="G960" t="s">
        <v>29</v>
      </c>
      <c r="H960">
        <v>2888.49</v>
      </c>
      <c r="I960">
        <v>2929.45</v>
      </c>
      <c r="J960" t="s">
        <v>30</v>
      </c>
      <c r="K960">
        <v>0.06</v>
      </c>
      <c r="L960" t="s">
        <v>18</v>
      </c>
      <c r="M960" t="s">
        <v>22</v>
      </c>
      <c r="N960" t="s">
        <v>45</v>
      </c>
      <c r="O960">
        <f>Table2[[#This Row],[Unit_Cost]]*Table2[[#This Row],[Quantity_Sold]]</f>
        <v>118428.09</v>
      </c>
      <c r="P960">
        <f t="shared" si="14"/>
        <v>-116518</v>
      </c>
      <c r="Q960" s="3">
        <f>Table2[[#This Row],[Gross_Profit]]/Table2[[#This Row],[Sales_Amount]]</f>
        <v>-61.001314074205929</v>
      </c>
      <c r="R960" t="str">
        <f>TEXT(Table2[[#This Row],[Sale_Date]],"mmmm")</f>
        <v>August</v>
      </c>
      <c r="S960" s="4">
        <f>YEAR(Table2[[#This Row],[Sale_Date]])</f>
        <v>2023</v>
      </c>
    </row>
    <row r="961" spans="1:19" x14ac:dyDescent="0.35">
      <c r="A961">
        <v>1056</v>
      </c>
      <c r="B961" s="1">
        <v>45045</v>
      </c>
      <c r="C961" t="s">
        <v>33</v>
      </c>
      <c r="D961" t="s">
        <v>15</v>
      </c>
      <c r="E961">
        <v>8274.5400000000009</v>
      </c>
      <c r="F961">
        <v>10</v>
      </c>
      <c r="G961" t="s">
        <v>29</v>
      </c>
      <c r="H961">
        <v>536.80999999999995</v>
      </c>
      <c r="I961">
        <v>839.92</v>
      </c>
      <c r="J961" t="s">
        <v>17</v>
      </c>
      <c r="K961">
        <v>0.15</v>
      </c>
      <c r="L961" t="s">
        <v>27</v>
      </c>
      <c r="M961" t="s">
        <v>19</v>
      </c>
      <c r="N961" t="s">
        <v>53</v>
      </c>
      <c r="O961">
        <f>Table2[[#This Row],[Unit_Cost]]*Table2[[#This Row],[Quantity_Sold]]</f>
        <v>5368.0999999999995</v>
      </c>
      <c r="P961">
        <f t="shared" si="14"/>
        <v>2906.4400000000014</v>
      </c>
      <c r="Q961" s="3">
        <f>Table2[[#This Row],[Gross_Profit]]/Table2[[#This Row],[Sales_Amount]]</f>
        <v>0.35125094567190457</v>
      </c>
      <c r="R961" t="str">
        <f>TEXT(Table2[[#This Row],[Sale_Date]],"mmmm")</f>
        <v>April</v>
      </c>
      <c r="S961" s="4">
        <f>YEAR(Table2[[#This Row],[Sale_Date]])</f>
        <v>2023</v>
      </c>
    </row>
    <row r="962" spans="1:19" x14ac:dyDescent="0.35">
      <c r="A962">
        <v>1086</v>
      </c>
      <c r="B962" s="1">
        <v>45235</v>
      </c>
      <c r="C962" t="s">
        <v>42</v>
      </c>
      <c r="D962" t="s">
        <v>25</v>
      </c>
      <c r="E962">
        <v>2928.5</v>
      </c>
      <c r="F962">
        <v>10</v>
      </c>
      <c r="G962" t="s">
        <v>16</v>
      </c>
      <c r="H962">
        <v>2273.91</v>
      </c>
      <c r="I962">
        <v>2578.7999999999902</v>
      </c>
      <c r="J962" t="s">
        <v>30</v>
      </c>
      <c r="K962">
        <v>0.14000000000000001</v>
      </c>
      <c r="L962" t="s">
        <v>18</v>
      </c>
      <c r="M962" t="s">
        <v>19</v>
      </c>
      <c r="N962" t="s">
        <v>43</v>
      </c>
      <c r="O962">
        <f>Table2[[#This Row],[Unit_Cost]]*Table2[[#This Row],[Quantity_Sold]]</f>
        <v>22739.1</v>
      </c>
      <c r="P962">
        <f t="shared" ref="P962:P1001" si="15">E962-O962</f>
        <v>-19810.599999999999</v>
      </c>
      <c r="Q962" s="3">
        <f>Table2[[#This Row],[Gross_Profit]]/Table2[[#This Row],[Sales_Amount]]</f>
        <v>-6.7647601161003923</v>
      </c>
      <c r="R962" t="str">
        <f>TEXT(Table2[[#This Row],[Sale_Date]],"mmmm")</f>
        <v>November</v>
      </c>
      <c r="S962" s="4">
        <f>YEAR(Table2[[#This Row],[Sale_Date]])</f>
        <v>2023</v>
      </c>
    </row>
    <row r="963" spans="1:19" x14ac:dyDescent="0.35">
      <c r="A963">
        <v>1014</v>
      </c>
      <c r="B963" s="1">
        <v>45109</v>
      </c>
      <c r="C963" t="s">
        <v>24</v>
      </c>
      <c r="D963" t="s">
        <v>34</v>
      </c>
      <c r="E963">
        <v>9278.5300000000007</v>
      </c>
      <c r="F963">
        <v>7</v>
      </c>
      <c r="G963" t="s">
        <v>29</v>
      </c>
      <c r="H963">
        <v>4705.46</v>
      </c>
      <c r="I963">
        <v>4747.07</v>
      </c>
      <c r="J963" t="s">
        <v>30</v>
      </c>
      <c r="K963">
        <v>0.27</v>
      </c>
      <c r="L963" t="s">
        <v>27</v>
      </c>
      <c r="M963" t="s">
        <v>22</v>
      </c>
      <c r="N963" t="s">
        <v>50</v>
      </c>
      <c r="O963">
        <f>Table2[[#This Row],[Unit_Cost]]*Table2[[#This Row],[Quantity_Sold]]</f>
        <v>32938.22</v>
      </c>
      <c r="P963">
        <f t="shared" si="15"/>
        <v>-23659.690000000002</v>
      </c>
      <c r="Q963" s="3">
        <f>Table2[[#This Row],[Gross_Profit]]/Table2[[#This Row],[Sales_Amount]]</f>
        <v>-2.5499394839484273</v>
      </c>
      <c r="R963" t="str">
        <f>TEXT(Table2[[#This Row],[Sale_Date]],"mmmm")</f>
        <v>July</v>
      </c>
      <c r="S963" s="4">
        <f>YEAR(Table2[[#This Row],[Sale_Date]])</f>
        <v>2023</v>
      </c>
    </row>
    <row r="964" spans="1:19" x14ac:dyDescent="0.35">
      <c r="A964">
        <v>1090</v>
      </c>
      <c r="B964" s="1">
        <v>45214</v>
      </c>
      <c r="C964" t="s">
        <v>33</v>
      </c>
      <c r="D964" t="s">
        <v>25</v>
      </c>
      <c r="E964">
        <v>9702.27</v>
      </c>
      <c r="F964">
        <v>48</v>
      </c>
      <c r="G964" t="s">
        <v>35</v>
      </c>
      <c r="H964">
        <v>4766.53</v>
      </c>
      <c r="I964">
        <v>5253.07</v>
      </c>
      <c r="J964" t="s">
        <v>17</v>
      </c>
      <c r="K964">
        <v>0.01</v>
      </c>
      <c r="L964" t="s">
        <v>27</v>
      </c>
      <c r="M964" t="s">
        <v>19</v>
      </c>
      <c r="N964" t="s">
        <v>44</v>
      </c>
      <c r="O964">
        <f>Table2[[#This Row],[Unit_Cost]]*Table2[[#This Row],[Quantity_Sold]]</f>
        <v>228793.44</v>
      </c>
      <c r="P964">
        <f t="shared" si="15"/>
        <v>-219091.17</v>
      </c>
      <c r="Q964" s="3">
        <f>Table2[[#This Row],[Gross_Profit]]/Table2[[#This Row],[Sales_Amount]]</f>
        <v>-22.581434035540138</v>
      </c>
      <c r="R964" t="str">
        <f>TEXT(Table2[[#This Row],[Sale_Date]],"mmmm")</f>
        <v>October</v>
      </c>
      <c r="S964" s="4">
        <f>YEAR(Table2[[#This Row],[Sale_Date]])</f>
        <v>2023</v>
      </c>
    </row>
    <row r="965" spans="1:19" x14ac:dyDescent="0.35">
      <c r="A965">
        <v>1028</v>
      </c>
      <c r="B965" s="1">
        <v>45233</v>
      </c>
      <c r="C965" t="s">
        <v>42</v>
      </c>
      <c r="D965" t="s">
        <v>15</v>
      </c>
      <c r="E965">
        <v>5755.48</v>
      </c>
      <c r="F965">
        <v>38</v>
      </c>
      <c r="G965" t="s">
        <v>29</v>
      </c>
      <c r="H965">
        <v>1234.69</v>
      </c>
      <c r="I965">
        <v>1511.26</v>
      </c>
      <c r="J965" t="s">
        <v>30</v>
      </c>
      <c r="K965">
        <v>0.1</v>
      </c>
      <c r="L965" t="s">
        <v>27</v>
      </c>
      <c r="M965" t="s">
        <v>19</v>
      </c>
      <c r="N965" t="s">
        <v>49</v>
      </c>
      <c r="O965">
        <f>Table2[[#This Row],[Unit_Cost]]*Table2[[#This Row],[Quantity_Sold]]</f>
        <v>46918.22</v>
      </c>
      <c r="P965">
        <f t="shared" si="15"/>
        <v>-41162.740000000005</v>
      </c>
      <c r="Q965" s="3">
        <f>Table2[[#This Row],[Gross_Profit]]/Table2[[#This Row],[Sales_Amount]]</f>
        <v>-7.1519212993529662</v>
      </c>
      <c r="R965" t="str">
        <f>TEXT(Table2[[#This Row],[Sale_Date]],"mmmm")</f>
        <v>November</v>
      </c>
      <c r="S965" s="4">
        <f>YEAR(Table2[[#This Row],[Sale_Date]])</f>
        <v>2023</v>
      </c>
    </row>
    <row r="966" spans="1:19" x14ac:dyDescent="0.35">
      <c r="A966">
        <v>1087</v>
      </c>
      <c r="B966" s="1">
        <v>45226</v>
      </c>
      <c r="C966" t="s">
        <v>38</v>
      </c>
      <c r="D966" t="s">
        <v>15</v>
      </c>
      <c r="E966">
        <v>1515.71</v>
      </c>
      <c r="F966">
        <v>27</v>
      </c>
      <c r="G966" t="s">
        <v>26</v>
      </c>
      <c r="H966">
        <v>3139.36</v>
      </c>
      <c r="I966">
        <v>3423.66</v>
      </c>
      <c r="J966" t="s">
        <v>30</v>
      </c>
      <c r="K966">
        <v>0.18</v>
      </c>
      <c r="L966" t="s">
        <v>31</v>
      </c>
      <c r="M966" t="s">
        <v>19</v>
      </c>
      <c r="N966" t="s">
        <v>40</v>
      </c>
      <c r="O966">
        <f>Table2[[#This Row],[Unit_Cost]]*Table2[[#This Row],[Quantity_Sold]]</f>
        <v>84762.72</v>
      </c>
      <c r="P966">
        <f t="shared" si="15"/>
        <v>-83247.009999999995</v>
      </c>
      <c r="Q966" s="3">
        <f>Table2[[#This Row],[Gross_Profit]]/Table2[[#This Row],[Sales_Amount]]</f>
        <v>-54.922782062531745</v>
      </c>
      <c r="R966" t="str">
        <f>TEXT(Table2[[#This Row],[Sale_Date]],"mmmm")</f>
        <v>October</v>
      </c>
      <c r="S966" s="4">
        <f>YEAR(Table2[[#This Row],[Sale_Date]])</f>
        <v>2023</v>
      </c>
    </row>
    <row r="967" spans="1:19" x14ac:dyDescent="0.35">
      <c r="A967">
        <v>1078</v>
      </c>
      <c r="B967" s="1">
        <v>45008</v>
      </c>
      <c r="C967" t="s">
        <v>38</v>
      </c>
      <c r="D967" t="s">
        <v>21</v>
      </c>
      <c r="E967">
        <v>3808.03</v>
      </c>
      <c r="F967">
        <v>33</v>
      </c>
      <c r="G967" t="s">
        <v>29</v>
      </c>
      <c r="H967">
        <v>2396.6799999999998</v>
      </c>
      <c r="I967">
        <v>2661.54</v>
      </c>
      <c r="J967" t="s">
        <v>30</v>
      </c>
      <c r="K967">
        <v>0.18</v>
      </c>
      <c r="L967" t="s">
        <v>27</v>
      </c>
      <c r="M967" t="s">
        <v>19</v>
      </c>
      <c r="N967" t="s">
        <v>41</v>
      </c>
      <c r="O967">
        <f>Table2[[#This Row],[Unit_Cost]]*Table2[[#This Row],[Quantity_Sold]]</f>
        <v>79090.439999999988</v>
      </c>
      <c r="P967">
        <f t="shared" si="15"/>
        <v>-75282.409999999989</v>
      </c>
      <c r="Q967" s="3">
        <f>Table2[[#This Row],[Gross_Profit]]/Table2[[#This Row],[Sales_Amount]]</f>
        <v>-19.769384694973514</v>
      </c>
      <c r="R967" t="str">
        <f>TEXT(Table2[[#This Row],[Sale_Date]],"mmmm")</f>
        <v>March</v>
      </c>
      <c r="S967" s="4">
        <f>YEAR(Table2[[#This Row],[Sale_Date]])</f>
        <v>2023</v>
      </c>
    </row>
    <row r="968" spans="1:19" x14ac:dyDescent="0.3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c r="O968">
        <f>Table2[[#This Row],[Unit_Cost]]*Table2[[#This Row],[Quantity_Sold]]</f>
        <v>4384.6400000000003</v>
      </c>
      <c r="P968">
        <f t="shared" si="15"/>
        <v>3612.91</v>
      </c>
      <c r="Q968" s="3">
        <f>Table2[[#This Row],[Gross_Profit]]/Table2[[#This Row],[Sales_Amount]]</f>
        <v>0.45175209908034331</v>
      </c>
      <c r="R968" t="str">
        <f>TEXT(Table2[[#This Row],[Sale_Date]],"mmmm")</f>
        <v>July</v>
      </c>
      <c r="S968" s="4">
        <f>YEAR(Table2[[#This Row],[Sale_Date]])</f>
        <v>2023</v>
      </c>
    </row>
    <row r="969" spans="1:19" x14ac:dyDescent="0.35">
      <c r="A969">
        <v>1002</v>
      </c>
      <c r="B969" s="1">
        <v>45076</v>
      </c>
      <c r="C969" t="s">
        <v>38</v>
      </c>
      <c r="D969" t="s">
        <v>15</v>
      </c>
      <c r="E969">
        <v>3737.17</v>
      </c>
      <c r="F969">
        <v>44</v>
      </c>
      <c r="G969" t="s">
        <v>16</v>
      </c>
      <c r="H969">
        <v>1393.58</v>
      </c>
      <c r="I969">
        <v>1533.09</v>
      </c>
      <c r="J969" t="s">
        <v>17</v>
      </c>
      <c r="K969">
        <v>0.24</v>
      </c>
      <c r="L969" t="s">
        <v>31</v>
      </c>
      <c r="M969" t="s">
        <v>22</v>
      </c>
      <c r="N969" t="s">
        <v>40</v>
      </c>
      <c r="O969">
        <f>Table2[[#This Row],[Unit_Cost]]*Table2[[#This Row],[Quantity_Sold]]</f>
        <v>61317.52</v>
      </c>
      <c r="P969">
        <f t="shared" si="15"/>
        <v>-57580.35</v>
      </c>
      <c r="Q969" s="3">
        <f>Table2[[#This Row],[Gross_Profit]]/Table2[[#This Row],[Sales_Amount]]</f>
        <v>-15.407474104737005</v>
      </c>
      <c r="R969" t="str">
        <f>TEXT(Table2[[#This Row],[Sale_Date]],"mmmm")</f>
        <v>May</v>
      </c>
      <c r="S969" s="4">
        <f>YEAR(Table2[[#This Row],[Sale_Date]])</f>
        <v>2023</v>
      </c>
    </row>
    <row r="970" spans="1:19" x14ac:dyDescent="0.35">
      <c r="A970">
        <v>1026</v>
      </c>
      <c r="B970" s="1">
        <v>44963</v>
      </c>
      <c r="C970" t="s">
        <v>14</v>
      </c>
      <c r="D970" t="s">
        <v>21</v>
      </c>
      <c r="E970">
        <v>961.47</v>
      </c>
      <c r="F970">
        <v>34</v>
      </c>
      <c r="G970" t="s">
        <v>35</v>
      </c>
      <c r="H970">
        <v>68.33</v>
      </c>
      <c r="I970">
        <v>219.07999999999899</v>
      </c>
      <c r="J970" t="s">
        <v>30</v>
      </c>
      <c r="K970">
        <v>0.02</v>
      </c>
      <c r="L970" t="s">
        <v>31</v>
      </c>
      <c r="M970" t="s">
        <v>19</v>
      </c>
      <c r="N970" t="s">
        <v>23</v>
      </c>
      <c r="O970">
        <f>Table2[[#This Row],[Unit_Cost]]*Table2[[#This Row],[Quantity_Sold]]</f>
        <v>2323.2199999999998</v>
      </c>
      <c r="P970">
        <f t="shared" si="15"/>
        <v>-1361.7499999999998</v>
      </c>
      <c r="Q970" s="3">
        <f>Table2[[#This Row],[Gross_Profit]]/Table2[[#This Row],[Sales_Amount]]</f>
        <v>-1.4163208420439533</v>
      </c>
      <c r="R970" t="str">
        <f>TEXT(Table2[[#This Row],[Sale_Date]],"mmmm")</f>
        <v>February</v>
      </c>
      <c r="S970" s="4">
        <f>YEAR(Table2[[#This Row],[Sale_Date]])</f>
        <v>2023</v>
      </c>
    </row>
    <row r="971" spans="1:19" x14ac:dyDescent="0.35">
      <c r="A971">
        <v>1014</v>
      </c>
      <c r="B971" s="1">
        <v>45278</v>
      </c>
      <c r="C971" t="s">
        <v>24</v>
      </c>
      <c r="D971" t="s">
        <v>34</v>
      </c>
      <c r="E971">
        <v>5612.17</v>
      </c>
      <c r="F971">
        <v>4</v>
      </c>
      <c r="G971" t="s">
        <v>16</v>
      </c>
      <c r="H971">
        <v>854.68</v>
      </c>
      <c r="I971">
        <v>1115.24</v>
      </c>
      <c r="J971" t="s">
        <v>30</v>
      </c>
      <c r="K971">
        <v>0.24</v>
      </c>
      <c r="L971" t="s">
        <v>31</v>
      </c>
      <c r="M971" t="s">
        <v>22</v>
      </c>
      <c r="N971" t="s">
        <v>50</v>
      </c>
      <c r="O971">
        <f>Table2[[#This Row],[Unit_Cost]]*Table2[[#This Row],[Quantity_Sold]]</f>
        <v>3418.72</v>
      </c>
      <c r="P971">
        <f t="shared" si="15"/>
        <v>2193.4500000000003</v>
      </c>
      <c r="Q971" s="3">
        <f>Table2[[#This Row],[Gross_Profit]]/Table2[[#This Row],[Sales_Amount]]</f>
        <v>0.39083812500334097</v>
      </c>
      <c r="R971" t="str">
        <f>TEXT(Table2[[#This Row],[Sale_Date]],"mmmm")</f>
        <v>December</v>
      </c>
      <c r="S971" s="4">
        <f>YEAR(Table2[[#This Row],[Sale_Date]])</f>
        <v>2023</v>
      </c>
    </row>
    <row r="972" spans="1:19" x14ac:dyDescent="0.35">
      <c r="A972">
        <v>1059</v>
      </c>
      <c r="B972" s="1">
        <v>45238</v>
      </c>
      <c r="C972" t="s">
        <v>24</v>
      </c>
      <c r="D972" t="s">
        <v>25</v>
      </c>
      <c r="E972">
        <v>8466.7000000000007</v>
      </c>
      <c r="F972">
        <v>17</v>
      </c>
      <c r="G972" t="s">
        <v>29</v>
      </c>
      <c r="H972">
        <v>1780.14</v>
      </c>
      <c r="I972">
        <v>2185.42</v>
      </c>
      <c r="J972" t="s">
        <v>17</v>
      </c>
      <c r="K972">
        <v>0.15</v>
      </c>
      <c r="L972" t="s">
        <v>31</v>
      </c>
      <c r="M972" t="s">
        <v>22</v>
      </c>
      <c r="N972" t="s">
        <v>28</v>
      </c>
      <c r="O972">
        <f>Table2[[#This Row],[Unit_Cost]]*Table2[[#This Row],[Quantity_Sold]]</f>
        <v>30262.38</v>
      </c>
      <c r="P972">
        <f t="shared" si="15"/>
        <v>-21795.68</v>
      </c>
      <c r="Q972" s="3">
        <f>Table2[[#This Row],[Gross_Profit]]/Table2[[#This Row],[Sales_Amount]]</f>
        <v>-2.5742827784142581</v>
      </c>
      <c r="R972" t="str">
        <f>TEXT(Table2[[#This Row],[Sale_Date]],"mmmm")</f>
        <v>November</v>
      </c>
      <c r="S972" s="4">
        <f>YEAR(Table2[[#This Row],[Sale_Date]])</f>
        <v>2023</v>
      </c>
    </row>
    <row r="973" spans="1:19" x14ac:dyDescent="0.35">
      <c r="A973">
        <v>1056</v>
      </c>
      <c r="B973" s="1">
        <v>45287</v>
      </c>
      <c r="C973" t="s">
        <v>14</v>
      </c>
      <c r="D973" t="s">
        <v>34</v>
      </c>
      <c r="E973">
        <v>7979.67</v>
      </c>
      <c r="F973">
        <v>4</v>
      </c>
      <c r="G973" t="s">
        <v>26</v>
      </c>
      <c r="H973">
        <v>1612.82</v>
      </c>
      <c r="I973">
        <v>1647.25</v>
      </c>
      <c r="J973" t="s">
        <v>17</v>
      </c>
      <c r="K973">
        <v>0.04</v>
      </c>
      <c r="L973" t="s">
        <v>31</v>
      </c>
      <c r="M973" t="s">
        <v>22</v>
      </c>
      <c r="N973" t="s">
        <v>46</v>
      </c>
      <c r="O973">
        <f>Table2[[#This Row],[Unit_Cost]]*Table2[[#This Row],[Quantity_Sold]]</f>
        <v>6451.28</v>
      </c>
      <c r="P973">
        <f t="shared" si="15"/>
        <v>1528.3900000000003</v>
      </c>
      <c r="Q973" s="3">
        <f>Table2[[#This Row],[Gross_Profit]]/Table2[[#This Row],[Sales_Amount]]</f>
        <v>0.19153548956285163</v>
      </c>
      <c r="R973" t="str">
        <f>TEXT(Table2[[#This Row],[Sale_Date]],"mmmm")</f>
        <v>December</v>
      </c>
      <c r="S973" s="4">
        <f>YEAR(Table2[[#This Row],[Sale_Date]])</f>
        <v>2023</v>
      </c>
    </row>
    <row r="974" spans="1:19" x14ac:dyDescent="0.35">
      <c r="A974">
        <v>1007</v>
      </c>
      <c r="B974" s="1">
        <v>44985</v>
      </c>
      <c r="C974" t="s">
        <v>33</v>
      </c>
      <c r="D974" t="s">
        <v>34</v>
      </c>
      <c r="E974">
        <v>1833.72</v>
      </c>
      <c r="F974">
        <v>43</v>
      </c>
      <c r="G974" t="s">
        <v>16</v>
      </c>
      <c r="H974">
        <v>3967.25</v>
      </c>
      <c r="I974">
        <v>4272.92</v>
      </c>
      <c r="J974" t="s">
        <v>30</v>
      </c>
      <c r="K974">
        <v>0.27</v>
      </c>
      <c r="L974" t="s">
        <v>31</v>
      </c>
      <c r="M974" t="s">
        <v>19</v>
      </c>
      <c r="N974" t="s">
        <v>36</v>
      </c>
      <c r="O974">
        <f>Table2[[#This Row],[Unit_Cost]]*Table2[[#This Row],[Quantity_Sold]]</f>
        <v>170591.75</v>
      </c>
      <c r="P974">
        <f t="shared" si="15"/>
        <v>-168758.03</v>
      </c>
      <c r="Q974" s="3">
        <f>Table2[[#This Row],[Gross_Profit]]/Table2[[#This Row],[Sales_Amount]]</f>
        <v>-92.030424492288901</v>
      </c>
      <c r="R974" t="str">
        <f>TEXT(Table2[[#This Row],[Sale_Date]],"mmmm")</f>
        <v>February</v>
      </c>
      <c r="S974" s="4">
        <f>YEAR(Table2[[#This Row],[Sale_Date]])</f>
        <v>2023</v>
      </c>
    </row>
    <row r="975" spans="1:19" x14ac:dyDescent="0.35">
      <c r="A975">
        <v>1003</v>
      </c>
      <c r="B975" s="1">
        <v>45057</v>
      </c>
      <c r="C975" t="s">
        <v>33</v>
      </c>
      <c r="D975" t="s">
        <v>15</v>
      </c>
      <c r="E975">
        <v>6760.37</v>
      </c>
      <c r="F975">
        <v>26</v>
      </c>
      <c r="G975" t="s">
        <v>35</v>
      </c>
      <c r="H975">
        <v>3418.78</v>
      </c>
      <c r="I975">
        <v>3824.1</v>
      </c>
      <c r="J975" t="s">
        <v>30</v>
      </c>
      <c r="K975">
        <v>0.19</v>
      </c>
      <c r="L975" t="s">
        <v>31</v>
      </c>
      <c r="M975" t="s">
        <v>19</v>
      </c>
      <c r="N975" t="s">
        <v>53</v>
      </c>
      <c r="O975">
        <f>Table2[[#This Row],[Unit_Cost]]*Table2[[#This Row],[Quantity_Sold]]</f>
        <v>88888.28</v>
      </c>
      <c r="P975">
        <f t="shared" si="15"/>
        <v>-82127.91</v>
      </c>
      <c r="Q975" s="3">
        <f>Table2[[#This Row],[Gross_Profit]]/Table2[[#This Row],[Sales_Amount]]</f>
        <v>-12.14843418333612</v>
      </c>
      <c r="R975" t="str">
        <f>TEXT(Table2[[#This Row],[Sale_Date]],"mmmm")</f>
        <v>May</v>
      </c>
      <c r="S975" s="4">
        <f>YEAR(Table2[[#This Row],[Sale_Date]])</f>
        <v>2023</v>
      </c>
    </row>
    <row r="976" spans="1:19" x14ac:dyDescent="0.35">
      <c r="A976">
        <v>1023</v>
      </c>
      <c r="B976" s="1">
        <v>45128</v>
      </c>
      <c r="C976" t="s">
        <v>38</v>
      </c>
      <c r="D976" t="s">
        <v>15</v>
      </c>
      <c r="E976">
        <v>2282.9899999999998</v>
      </c>
      <c r="F976">
        <v>4</v>
      </c>
      <c r="G976" t="s">
        <v>29</v>
      </c>
      <c r="H976">
        <v>1532.8</v>
      </c>
      <c r="I976">
        <v>1619.69</v>
      </c>
      <c r="J976" t="s">
        <v>17</v>
      </c>
      <c r="K976">
        <v>0.05</v>
      </c>
      <c r="L976" t="s">
        <v>27</v>
      </c>
      <c r="M976" t="s">
        <v>22</v>
      </c>
      <c r="N976" t="s">
        <v>40</v>
      </c>
      <c r="O976">
        <f>Table2[[#This Row],[Unit_Cost]]*Table2[[#This Row],[Quantity_Sold]]</f>
        <v>6131.2</v>
      </c>
      <c r="P976">
        <f t="shared" si="15"/>
        <v>-3848.21</v>
      </c>
      <c r="Q976" s="3">
        <f>Table2[[#This Row],[Gross_Profit]]/Table2[[#This Row],[Sales_Amount]]</f>
        <v>-1.685600900573371</v>
      </c>
      <c r="R976" t="str">
        <f>TEXT(Table2[[#This Row],[Sale_Date]],"mmmm")</f>
        <v>July</v>
      </c>
      <c r="S976" s="4">
        <f>YEAR(Table2[[#This Row],[Sale_Date]])</f>
        <v>2023</v>
      </c>
    </row>
    <row r="977" spans="1:19" x14ac:dyDescent="0.35">
      <c r="A977">
        <v>1018</v>
      </c>
      <c r="B977" s="1">
        <v>45169</v>
      </c>
      <c r="C977" t="s">
        <v>42</v>
      </c>
      <c r="D977" t="s">
        <v>34</v>
      </c>
      <c r="E977">
        <v>2260.25</v>
      </c>
      <c r="F977">
        <v>1</v>
      </c>
      <c r="G977" t="s">
        <v>35</v>
      </c>
      <c r="H977">
        <v>2315.83</v>
      </c>
      <c r="I977">
        <v>2333.19</v>
      </c>
      <c r="J977" t="s">
        <v>30</v>
      </c>
      <c r="K977">
        <v>0.01</v>
      </c>
      <c r="L977" t="s">
        <v>18</v>
      </c>
      <c r="M977" t="s">
        <v>22</v>
      </c>
      <c r="N977" t="s">
        <v>52</v>
      </c>
      <c r="O977">
        <f>Table2[[#This Row],[Unit_Cost]]*Table2[[#This Row],[Quantity_Sold]]</f>
        <v>2315.83</v>
      </c>
      <c r="P977">
        <f t="shared" si="15"/>
        <v>-55.579999999999927</v>
      </c>
      <c r="Q977" s="3">
        <f>Table2[[#This Row],[Gross_Profit]]/Table2[[#This Row],[Sales_Amount]]</f>
        <v>-2.4590200199092988E-2</v>
      </c>
      <c r="R977" t="str">
        <f>TEXT(Table2[[#This Row],[Sale_Date]],"mmmm")</f>
        <v>August</v>
      </c>
      <c r="S977" s="4">
        <f>YEAR(Table2[[#This Row],[Sale_Date]])</f>
        <v>2023</v>
      </c>
    </row>
    <row r="978" spans="1:19" x14ac:dyDescent="0.35">
      <c r="A978">
        <v>1038</v>
      </c>
      <c r="B978" s="1">
        <v>44961</v>
      </c>
      <c r="C978" t="s">
        <v>33</v>
      </c>
      <c r="D978" t="s">
        <v>15</v>
      </c>
      <c r="E978">
        <v>8753.31</v>
      </c>
      <c r="F978">
        <v>7</v>
      </c>
      <c r="G978" t="s">
        <v>16</v>
      </c>
      <c r="H978">
        <v>523.02</v>
      </c>
      <c r="I978">
        <v>686.25</v>
      </c>
      <c r="J978" t="s">
        <v>17</v>
      </c>
      <c r="K978">
        <v>0.04</v>
      </c>
      <c r="L978" t="s">
        <v>18</v>
      </c>
      <c r="M978" t="s">
        <v>19</v>
      </c>
      <c r="N978" t="s">
        <v>53</v>
      </c>
      <c r="O978">
        <f>Table2[[#This Row],[Unit_Cost]]*Table2[[#This Row],[Quantity_Sold]]</f>
        <v>3661.14</v>
      </c>
      <c r="P978">
        <f t="shared" si="15"/>
        <v>5092.17</v>
      </c>
      <c r="Q978" s="3">
        <f>Table2[[#This Row],[Gross_Profit]]/Table2[[#This Row],[Sales_Amount]]</f>
        <v>0.58174222094270633</v>
      </c>
      <c r="R978" t="str">
        <f>TEXT(Table2[[#This Row],[Sale_Date]],"mmmm")</f>
        <v>February</v>
      </c>
      <c r="S978" s="4">
        <f>YEAR(Table2[[#This Row],[Sale_Date]])</f>
        <v>2023</v>
      </c>
    </row>
    <row r="979" spans="1:19" x14ac:dyDescent="0.35">
      <c r="A979">
        <v>1099</v>
      </c>
      <c r="B979" s="1">
        <v>45019</v>
      </c>
      <c r="C979" t="s">
        <v>42</v>
      </c>
      <c r="D979" t="s">
        <v>15</v>
      </c>
      <c r="E979">
        <v>2571.7199999999998</v>
      </c>
      <c r="F979">
        <v>30</v>
      </c>
      <c r="G979" t="s">
        <v>16</v>
      </c>
      <c r="H979">
        <v>4495.82</v>
      </c>
      <c r="I979">
        <v>4794.0099999999902</v>
      </c>
      <c r="J979" t="s">
        <v>30</v>
      </c>
      <c r="K979">
        <v>0.18</v>
      </c>
      <c r="L979" t="s">
        <v>27</v>
      </c>
      <c r="M979" t="s">
        <v>22</v>
      </c>
      <c r="N979" t="s">
        <v>49</v>
      </c>
      <c r="O979">
        <f>Table2[[#This Row],[Unit_Cost]]*Table2[[#This Row],[Quantity_Sold]]</f>
        <v>134874.59999999998</v>
      </c>
      <c r="P979">
        <f t="shared" si="15"/>
        <v>-132302.87999999998</v>
      </c>
      <c r="Q979" s="3">
        <f>Table2[[#This Row],[Gross_Profit]]/Table2[[#This Row],[Sales_Amount]]</f>
        <v>-51.445289533852822</v>
      </c>
      <c r="R979" t="str">
        <f>TEXT(Table2[[#This Row],[Sale_Date]],"mmmm")</f>
        <v>April</v>
      </c>
      <c r="S979" s="4">
        <f>YEAR(Table2[[#This Row],[Sale_Date]])</f>
        <v>2023</v>
      </c>
    </row>
    <row r="980" spans="1:19" x14ac:dyDescent="0.35">
      <c r="A980">
        <v>1015</v>
      </c>
      <c r="B980" s="1">
        <v>45133</v>
      </c>
      <c r="C980" t="s">
        <v>24</v>
      </c>
      <c r="D980" t="s">
        <v>15</v>
      </c>
      <c r="E980">
        <v>2706.15</v>
      </c>
      <c r="F980">
        <v>9</v>
      </c>
      <c r="G980" t="s">
        <v>35</v>
      </c>
      <c r="H980">
        <v>4680.3500000000004</v>
      </c>
      <c r="I980">
        <v>4758.1099999999997</v>
      </c>
      <c r="J980" t="s">
        <v>17</v>
      </c>
      <c r="K980">
        <v>0.05</v>
      </c>
      <c r="L980" t="s">
        <v>27</v>
      </c>
      <c r="M980" t="s">
        <v>19</v>
      </c>
      <c r="N980" t="s">
        <v>45</v>
      </c>
      <c r="O980">
        <f>Table2[[#This Row],[Unit_Cost]]*Table2[[#This Row],[Quantity_Sold]]</f>
        <v>42123.15</v>
      </c>
      <c r="P980">
        <f t="shared" si="15"/>
        <v>-39417</v>
      </c>
      <c r="Q980" s="3">
        <f>Table2[[#This Row],[Gross_Profit]]/Table2[[#This Row],[Sales_Amount]]</f>
        <v>-14.565711435064575</v>
      </c>
      <c r="R980" t="str">
        <f>TEXT(Table2[[#This Row],[Sale_Date]],"mmmm")</f>
        <v>July</v>
      </c>
      <c r="S980" s="4">
        <f>YEAR(Table2[[#This Row],[Sale_Date]])</f>
        <v>2023</v>
      </c>
    </row>
    <row r="981" spans="1:19" x14ac:dyDescent="0.35">
      <c r="A981">
        <v>1064</v>
      </c>
      <c r="B981" s="1">
        <v>45279</v>
      </c>
      <c r="C981" t="s">
        <v>42</v>
      </c>
      <c r="D981" t="s">
        <v>21</v>
      </c>
      <c r="E981">
        <v>106.47</v>
      </c>
      <c r="F981">
        <v>35</v>
      </c>
      <c r="G981" t="s">
        <v>29</v>
      </c>
      <c r="H981">
        <v>4900.03</v>
      </c>
      <c r="I981">
        <v>5118.83</v>
      </c>
      <c r="J981" t="s">
        <v>17</v>
      </c>
      <c r="K981">
        <v>7.0000000000000007E-2</v>
      </c>
      <c r="L981" t="s">
        <v>31</v>
      </c>
      <c r="M981" t="s">
        <v>22</v>
      </c>
      <c r="N981" t="s">
        <v>51</v>
      </c>
      <c r="O981">
        <f>Table2[[#This Row],[Unit_Cost]]*Table2[[#This Row],[Quantity_Sold]]</f>
        <v>171501.05</v>
      </c>
      <c r="P981">
        <f t="shared" si="15"/>
        <v>-171394.58</v>
      </c>
      <c r="Q981" s="3">
        <f>Table2[[#This Row],[Gross_Profit]]/Table2[[#This Row],[Sales_Amount]]</f>
        <v>-1609.7922419460881</v>
      </c>
      <c r="R981" t="str">
        <f>TEXT(Table2[[#This Row],[Sale_Date]],"mmmm")</f>
        <v>December</v>
      </c>
      <c r="S981" s="4">
        <f>YEAR(Table2[[#This Row],[Sale_Date]])</f>
        <v>2023</v>
      </c>
    </row>
    <row r="982" spans="1:19" x14ac:dyDescent="0.35">
      <c r="A982">
        <v>1089</v>
      </c>
      <c r="B982" s="1">
        <v>45258</v>
      </c>
      <c r="C982" t="s">
        <v>24</v>
      </c>
      <c r="D982" t="s">
        <v>21</v>
      </c>
      <c r="E982">
        <v>8719.6200000000008</v>
      </c>
      <c r="F982">
        <v>8</v>
      </c>
      <c r="G982" t="s">
        <v>16</v>
      </c>
      <c r="H982">
        <v>4349.34</v>
      </c>
      <c r="I982">
        <v>4629.9799999999996</v>
      </c>
      <c r="J982" t="s">
        <v>17</v>
      </c>
      <c r="K982">
        <v>0.01</v>
      </c>
      <c r="L982" t="s">
        <v>31</v>
      </c>
      <c r="M982" t="s">
        <v>19</v>
      </c>
      <c r="N982" t="s">
        <v>47</v>
      </c>
      <c r="O982">
        <f>Table2[[#This Row],[Unit_Cost]]*Table2[[#This Row],[Quantity_Sold]]</f>
        <v>34794.720000000001</v>
      </c>
      <c r="P982">
        <f t="shared" si="15"/>
        <v>-26075.1</v>
      </c>
      <c r="Q982" s="3">
        <f>Table2[[#This Row],[Gross_Profit]]/Table2[[#This Row],[Sales_Amount]]</f>
        <v>-2.990394076806099</v>
      </c>
      <c r="R982" t="str">
        <f>TEXT(Table2[[#This Row],[Sale_Date]],"mmmm")</f>
        <v>November</v>
      </c>
      <c r="S982" s="4">
        <f>YEAR(Table2[[#This Row],[Sale_Date]])</f>
        <v>2023</v>
      </c>
    </row>
    <row r="983" spans="1:19" x14ac:dyDescent="0.35">
      <c r="A983">
        <v>1028</v>
      </c>
      <c r="B983" s="1">
        <v>45231</v>
      </c>
      <c r="C983" t="s">
        <v>14</v>
      </c>
      <c r="D983" t="s">
        <v>34</v>
      </c>
      <c r="E983">
        <v>7946.69</v>
      </c>
      <c r="F983">
        <v>24</v>
      </c>
      <c r="G983" t="s">
        <v>26</v>
      </c>
      <c r="H983">
        <v>911.11</v>
      </c>
      <c r="I983">
        <v>1214.56</v>
      </c>
      <c r="J983" t="s">
        <v>30</v>
      </c>
      <c r="K983">
        <v>0.22</v>
      </c>
      <c r="L983" t="s">
        <v>27</v>
      </c>
      <c r="M983" t="s">
        <v>19</v>
      </c>
      <c r="N983" t="s">
        <v>46</v>
      </c>
      <c r="O983">
        <f>Table2[[#This Row],[Unit_Cost]]*Table2[[#This Row],[Quantity_Sold]]</f>
        <v>21866.639999999999</v>
      </c>
      <c r="P983">
        <f t="shared" si="15"/>
        <v>-13919.95</v>
      </c>
      <c r="Q983" s="3">
        <f>Table2[[#This Row],[Gross_Profit]]/Table2[[#This Row],[Sales_Amount]]</f>
        <v>-1.7516664170868628</v>
      </c>
      <c r="R983" t="str">
        <f>TEXT(Table2[[#This Row],[Sale_Date]],"mmmm")</f>
        <v>November</v>
      </c>
      <c r="S983" s="4">
        <f>YEAR(Table2[[#This Row],[Sale_Date]])</f>
        <v>2023</v>
      </c>
    </row>
    <row r="984" spans="1:19" x14ac:dyDescent="0.35">
      <c r="A984">
        <v>1074</v>
      </c>
      <c r="B984" s="1">
        <v>45276</v>
      </c>
      <c r="C984" t="s">
        <v>14</v>
      </c>
      <c r="D984" t="s">
        <v>15</v>
      </c>
      <c r="E984">
        <v>6310.56</v>
      </c>
      <c r="F984">
        <v>19</v>
      </c>
      <c r="G984" t="s">
        <v>16</v>
      </c>
      <c r="H984">
        <v>278.67</v>
      </c>
      <c r="I984">
        <v>423.13</v>
      </c>
      <c r="J984" t="s">
        <v>30</v>
      </c>
      <c r="K984">
        <v>0.24</v>
      </c>
      <c r="L984" t="s">
        <v>31</v>
      </c>
      <c r="M984" t="s">
        <v>19</v>
      </c>
      <c r="N984" t="s">
        <v>20</v>
      </c>
      <c r="O984">
        <f>Table2[[#This Row],[Unit_Cost]]*Table2[[#This Row],[Quantity_Sold]]</f>
        <v>5294.7300000000005</v>
      </c>
      <c r="P984">
        <f t="shared" si="15"/>
        <v>1015.8299999999999</v>
      </c>
      <c r="Q984" s="3">
        <f>Table2[[#This Row],[Gross_Profit]]/Table2[[#This Row],[Sales_Amount]]</f>
        <v>0.16097303567353766</v>
      </c>
      <c r="R984" t="str">
        <f>TEXT(Table2[[#This Row],[Sale_Date]],"mmmm")</f>
        <v>December</v>
      </c>
      <c r="S984" s="4">
        <f>YEAR(Table2[[#This Row],[Sale_Date]])</f>
        <v>2023</v>
      </c>
    </row>
    <row r="985" spans="1:19" x14ac:dyDescent="0.35">
      <c r="A985">
        <v>1039</v>
      </c>
      <c r="B985" s="1">
        <v>45139</v>
      </c>
      <c r="C985" t="s">
        <v>38</v>
      </c>
      <c r="D985" t="s">
        <v>21</v>
      </c>
      <c r="E985">
        <v>7527.63</v>
      </c>
      <c r="F985">
        <v>36</v>
      </c>
      <c r="G985" t="s">
        <v>29</v>
      </c>
      <c r="H985">
        <v>2919</v>
      </c>
      <c r="I985">
        <v>3125.01</v>
      </c>
      <c r="J985" t="s">
        <v>30</v>
      </c>
      <c r="K985">
        <v>0.24</v>
      </c>
      <c r="L985" t="s">
        <v>18</v>
      </c>
      <c r="M985" t="s">
        <v>19</v>
      </c>
      <c r="N985" t="s">
        <v>41</v>
      </c>
      <c r="O985">
        <f>Table2[[#This Row],[Unit_Cost]]*Table2[[#This Row],[Quantity_Sold]]</f>
        <v>105084</v>
      </c>
      <c r="P985">
        <f t="shared" si="15"/>
        <v>-97556.37</v>
      </c>
      <c r="Q985" s="3">
        <f>Table2[[#This Row],[Gross_Profit]]/Table2[[#This Row],[Sales_Amount]]</f>
        <v>-12.959772199218079</v>
      </c>
      <c r="R985" t="str">
        <f>TEXT(Table2[[#This Row],[Sale_Date]],"mmmm")</f>
        <v>August</v>
      </c>
      <c r="S985" s="4">
        <f>YEAR(Table2[[#This Row],[Sale_Date]])</f>
        <v>2023</v>
      </c>
    </row>
    <row r="986" spans="1:19" x14ac:dyDescent="0.35">
      <c r="A986">
        <v>1057</v>
      </c>
      <c r="B986" s="1">
        <v>45085</v>
      </c>
      <c r="C986" t="s">
        <v>33</v>
      </c>
      <c r="D986" t="s">
        <v>34</v>
      </c>
      <c r="E986">
        <v>1605.28</v>
      </c>
      <c r="F986">
        <v>43</v>
      </c>
      <c r="G986" t="s">
        <v>16</v>
      </c>
      <c r="H986">
        <v>4567.3900000000003</v>
      </c>
      <c r="I986">
        <v>4958.78</v>
      </c>
      <c r="J986" t="s">
        <v>30</v>
      </c>
      <c r="K986">
        <v>0.04</v>
      </c>
      <c r="L986" t="s">
        <v>18</v>
      </c>
      <c r="M986" t="s">
        <v>22</v>
      </c>
      <c r="N986" t="s">
        <v>36</v>
      </c>
      <c r="O986">
        <f>Table2[[#This Row],[Unit_Cost]]*Table2[[#This Row],[Quantity_Sold]]</f>
        <v>196397.77000000002</v>
      </c>
      <c r="P986">
        <f t="shared" si="15"/>
        <v>-194792.49000000002</v>
      </c>
      <c r="Q986" s="3">
        <f>Table2[[#This Row],[Gross_Profit]]/Table2[[#This Row],[Sales_Amount]]</f>
        <v>-121.34486818498955</v>
      </c>
      <c r="R986" t="str">
        <f>TEXT(Table2[[#This Row],[Sale_Date]],"mmmm")</f>
        <v>June</v>
      </c>
      <c r="S986" s="4">
        <f>YEAR(Table2[[#This Row],[Sale_Date]])</f>
        <v>2023</v>
      </c>
    </row>
    <row r="987" spans="1:19" x14ac:dyDescent="0.35">
      <c r="A987">
        <v>1017</v>
      </c>
      <c r="B987" s="1">
        <v>44950</v>
      </c>
      <c r="C987" t="s">
        <v>38</v>
      </c>
      <c r="D987" t="s">
        <v>15</v>
      </c>
      <c r="E987">
        <v>4637.3999999999996</v>
      </c>
      <c r="F987">
        <v>27</v>
      </c>
      <c r="G987" t="s">
        <v>35</v>
      </c>
      <c r="H987">
        <v>927.89</v>
      </c>
      <c r="I987">
        <v>1399.09</v>
      </c>
      <c r="J987" t="s">
        <v>17</v>
      </c>
      <c r="K987">
        <v>0.27</v>
      </c>
      <c r="L987" t="s">
        <v>31</v>
      </c>
      <c r="M987" t="s">
        <v>19</v>
      </c>
      <c r="N987" t="s">
        <v>40</v>
      </c>
      <c r="O987">
        <f>Table2[[#This Row],[Unit_Cost]]*Table2[[#This Row],[Quantity_Sold]]</f>
        <v>25053.03</v>
      </c>
      <c r="P987">
        <f t="shared" si="15"/>
        <v>-20415.629999999997</v>
      </c>
      <c r="Q987" s="3">
        <f>Table2[[#This Row],[Gross_Profit]]/Table2[[#This Row],[Sales_Amount]]</f>
        <v>-4.4023871134687536</v>
      </c>
      <c r="R987" t="str">
        <f>TEXT(Table2[[#This Row],[Sale_Date]],"mmmm")</f>
        <v>January</v>
      </c>
      <c r="S987" s="4">
        <f>YEAR(Table2[[#This Row],[Sale_Date]])</f>
        <v>2023</v>
      </c>
    </row>
    <row r="988" spans="1:19" x14ac:dyDescent="0.35">
      <c r="A988">
        <v>1086</v>
      </c>
      <c r="B988" s="1">
        <v>45219</v>
      </c>
      <c r="C988" t="s">
        <v>24</v>
      </c>
      <c r="D988" t="s">
        <v>25</v>
      </c>
      <c r="E988">
        <v>3577.07</v>
      </c>
      <c r="F988">
        <v>32</v>
      </c>
      <c r="G988" t="s">
        <v>16</v>
      </c>
      <c r="H988">
        <v>84.86</v>
      </c>
      <c r="I988">
        <v>517.17999999999995</v>
      </c>
      <c r="J988" t="s">
        <v>17</v>
      </c>
      <c r="K988">
        <v>0.2</v>
      </c>
      <c r="L988" t="s">
        <v>31</v>
      </c>
      <c r="M988" t="s">
        <v>22</v>
      </c>
      <c r="N988" t="s">
        <v>28</v>
      </c>
      <c r="O988">
        <f>Table2[[#This Row],[Unit_Cost]]*Table2[[#This Row],[Quantity_Sold]]</f>
        <v>2715.52</v>
      </c>
      <c r="P988">
        <f t="shared" si="15"/>
        <v>861.55000000000018</v>
      </c>
      <c r="Q988" s="3">
        <f>Table2[[#This Row],[Gross_Profit]]/Table2[[#This Row],[Sales_Amount]]</f>
        <v>0.24085354773599627</v>
      </c>
      <c r="R988" t="str">
        <f>TEXT(Table2[[#This Row],[Sale_Date]],"mmmm")</f>
        <v>October</v>
      </c>
      <c r="S988" s="4">
        <f>YEAR(Table2[[#This Row],[Sale_Date]])</f>
        <v>2023</v>
      </c>
    </row>
    <row r="989" spans="1:19" x14ac:dyDescent="0.35">
      <c r="A989">
        <v>1090</v>
      </c>
      <c r="B989" s="1">
        <v>44930</v>
      </c>
      <c r="C989" t="s">
        <v>38</v>
      </c>
      <c r="D989" t="s">
        <v>15</v>
      </c>
      <c r="E989">
        <v>1028.3900000000001</v>
      </c>
      <c r="F989">
        <v>14</v>
      </c>
      <c r="G989" t="s">
        <v>16</v>
      </c>
      <c r="H989">
        <v>4037.21</v>
      </c>
      <c r="I989">
        <v>4323.71</v>
      </c>
      <c r="J989" t="s">
        <v>17</v>
      </c>
      <c r="K989">
        <v>0.27</v>
      </c>
      <c r="L989" t="s">
        <v>31</v>
      </c>
      <c r="M989" t="s">
        <v>19</v>
      </c>
      <c r="N989" t="s">
        <v>40</v>
      </c>
      <c r="O989">
        <f>Table2[[#This Row],[Unit_Cost]]*Table2[[#This Row],[Quantity_Sold]]</f>
        <v>56520.94</v>
      </c>
      <c r="P989">
        <f t="shared" si="15"/>
        <v>-55492.55</v>
      </c>
      <c r="Q989" s="3">
        <f>Table2[[#This Row],[Gross_Profit]]/Table2[[#This Row],[Sales_Amount]]</f>
        <v>-53.960608329524788</v>
      </c>
      <c r="R989" t="str">
        <f>TEXT(Table2[[#This Row],[Sale_Date]],"mmmm")</f>
        <v>January</v>
      </c>
      <c r="S989" s="4">
        <f>YEAR(Table2[[#This Row],[Sale_Date]])</f>
        <v>2023</v>
      </c>
    </row>
    <row r="990" spans="1:19" x14ac:dyDescent="0.35">
      <c r="A990">
        <v>1044</v>
      </c>
      <c r="B990" s="1">
        <v>45146</v>
      </c>
      <c r="C990" t="s">
        <v>42</v>
      </c>
      <c r="D990" t="s">
        <v>15</v>
      </c>
      <c r="E990">
        <v>4912.6899999999996</v>
      </c>
      <c r="F990">
        <v>18</v>
      </c>
      <c r="G990" t="s">
        <v>29</v>
      </c>
      <c r="H990">
        <v>430.14</v>
      </c>
      <c r="I990">
        <v>641.17999999999995</v>
      </c>
      <c r="J990" t="s">
        <v>30</v>
      </c>
      <c r="K990">
        <v>0.13</v>
      </c>
      <c r="L990" t="s">
        <v>18</v>
      </c>
      <c r="M990" t="s">
        <v>19</v>
      </c>
      <c r="N990" t="s">
        <v>49</v>
      </c>
      <c r="O990">
        <f>Table2[[#This Row],[Unit_Cost]]*Table2[[#This Row],[Quantity_Sold]]</f>
        <v>7742.5199999999995</v>
      </c>
      <c r="P990">
        <f t="shared" si="15"/>
        <v>-2829.83</v>
      </c>
      <c r="Q990" s="3">
        <f>Table2[[#This Row],[Gross_Profit]]/Table2[[#This Row],[Sales_Amount]]</f>
        <v>-0.57602454052667684</v>
      </c>
      <c r="R990" t="str">
        <f>TEXT(Table2[[#This Row],[Sale_Date]],"mmmm")</f>
        <v>August</v>
      </c>
      <c r="S990" s="4">
        <f>YEAR(Table2[[#This Row],[Sale_Date]])</f>
        <v>2023</v>
      </c>
    </row>
    <row r="991" spans="1:19" x14ac:dyDescent="0.35">
      <c r="A991">
        <v>1025</v>
      </c>
      <c r="B991" s="1">
        <v>45290</v>
      </c>
      <c r="C991" t="s">
        <v>24</v>
      </c>
      <c r="D991" t="s">
        <v>21</v>
      </c>
      <c r="E991">
        <v>9215.32</v>
      </c>
      <c r="F991">
        <v>28</v>
      </c>
      <c r="G991" t="s">
        <v>35</v>
      </c>
      <c r="H991">
        <v>2097.84</v>
      </c>
      <c r="I991">
        <v>2270.9899999999998</v>
      </c>
      <c r="J991" t="s">
        <v>30</v>
      </c>
      <c r="K991">
        <v>0.13</v>
      </c>
      <c r="L991" t="s">
        <v>31</v>
      </c>
      <c r="M991" t="s">
        <v>22</v>
      </c>
      <c r="N991" t="s">
        <v>47</v>
      </c>
      <c r="O991">
        <f>Table2[[#This Row],[Unit_Cost]]*Table2[[#This Row],[Quantity_Sold]]</f>
        <v>58739.520000000004</v>
      </c>
      <c r="P991">
        <f t="shared" si="15"/>
        <v>-49524.200000000004</v>
      </c>
      <c r="Q991" s="3">
        <f>Table2[[#This Row],[Gross_Profit]]/Table2[[#This Row],[Sales_Amount]]</f>
        <v>-5.3741161457225584</v>
      </c>
      <c r="R991" t="str">
        <f>TEXT(Table2[[#This Row],[Sale_Date]],"mmmm")</f>
        <v>December</v>
      </c>
      <c r="S991" s="4">
        <f>YEAR(Table2[[#This Row],[Sale_Date]])</f>
        <v>2023</v>
      </c>
    </row>
    <row r="992" spans="1:19" x14ac:dyDescent="0.35">
      <c r="A992">
        <v>1017</v>
      </c>
      <c r="B992" s="1">
        <v>44946</v>
      </c>
      <c r="C992" t="s">
        <v>14</v>
      </c>
      <c r="D992" t="s">
        <v>34</v>
      </c>
      <c r="E992">
        <v>496.59</v>
      </c>
      <c r="F992">
        <v>29</v>
      </c>
      <c r="G992" t="s">
        <v>29</v>
      </c>
      <c r="H992">
        <v>3410.49</v>
      </c>
      <c r="I992">
        <v>3481.72</v>
      </c>
      <c r="J992" t="s">
        <v>30</v>
      </c>
      <c r="K992">
        <v>0.24</v>
      </c>
      <c r="L992" t="s">
        <v>27</v>
      </c>
      <c r="M992" t="s">
        <v>22</v>
      </c>
      <c r="N992" t="s">
        <v>46</v>
      </c>
      <c r="O992">
        <f>Table2[[#This Row],[Unit_Cost]]*Table2[[#This Row],[Quantity_Sold]]</f>
        <v>98904.209999999992</v>
      </c>
      <c r="P992">
        <f t="shared" si="15"/>
        <v>-98407.62</v>
      </c>
      <c r="Q992" s="3">
        <f>Table2[[#This Row],[Gross_Profit]]/Table2[[#This Row],[Sales_Amount]]</f>
        <v>-198.16673714734489</v>
      </c>
      <c r="R992" t="str">
        <f>TEXT(Table2[[#This Row],[Sale_Date]],"mmmm")</f>
        <v>January</v>
      </c>
      <c r="S992" s="4">
        <f>YEAR(Table2[[#This Row],[Sale_Date]])</f>
        <v>2023</v>
      </c>
    </row>
    <row r="993" spans="1:19" x14ac:dyDescent="0.35">
      <c r="A993">
        <v>1013</v>
      </c>
      <c r="B993" s="1">
        <v>45078</v>
      </c>
      <c r="C993" t="s">
        <v>33</v>
      </c>
      <c r="D993" t="s">
        <v>34</v>
      </c>
      <c r="E993">
        <v>2985.46</v>
      </c>
      <c r="F993">
        <v>16</v>
      </c>
      <c r="G993" t="s">
        <v>16</v>
      </c>
      <c r="H993">
        <v>1222.1500000000001</v>
      </c>
      <c r="I993">
        <v>1284.3599999999999</v>
      </c>
      <c r="J993" t="s">
        <v>17</v>
      </c>
      <c r="K993">
        <v>0.03</v>
      </c>
      <c r="L993" t="s">
        <v>31</v>
      </c>
      <c r="M993" t="s">
        <v>22</v>
      </c>
      <c r="N993" t="s">
        <v>36</v>
      </c>
      <c r="O993">
        <f>Table2[[#This Row],[Unit_Cost]]*Table2[[#This Row],[Quantity_Sold]]</f>
        <v>19554.400000000001</v>
      </c>
      <c r="P993">
        <f t="shared" si="15"/>
        <v>-16568.940000000002</v>
      </c>
      <c r="Q993" s="3">
        <f>Table2[[#This Row],[Gross_Profit]]/Table2[[#This Row],[Sales_Amount]]</f>
        <v>-5.5498784106971799</v>
      </c>
      <c r="R993" t="str">
        <f>TEXT(Table2[[#This Row],[Sale_Date]],"mmmm")</f>
        <v>June</v>
      </c>
      <c r="S993" s="4">
        <f>YEAR(Table2[[#This Row],[Sale_Date]])</f>
        <v>2023</v>
      </c>
    </row>
    <row r="994" spans="1:19" x14ac:dyDescent="0.35">
      <c r="A994">
        <v>1084</v>
      </c>
      <c r="B994" s="1">
        <v>44976</v>
      </c>
      <c r="C994" t="s">
        <v>24</v>
      </c>
      <c r="D994" t="s">
        <v>21</v>
      </c>
      <c r="E994">
        <v>2154.66</v>
      </c>
      <c r="F994">
        <v>35</v>
      </c>
      <c r="G994" t="s">
        <v>26</v>
      </c>
      <c r="H994">
        <v>465.61</v>
      </c>
      <c r="I994">
        <v>812.91</v>
      </c>
      <c r="J994" t="s">
        <v>30</v>
      </c>
      <c r="K994">
        <v>0.16</v>
      </c>
      <c r="L994" t="s">
        <v>27</v>
      </c>
      <c r="M994" t="s">
        <v>19</v>
      </c>
      <c r="N994" t="s">
        <v>47</v>
      </c>
      <c r="O994">
        <f>Table2[[#This Row],[Unit_Cost]]*Table2[[#This Row],[Quantity_Sold]]</f>
        <v>16296.35</v>
      </c>
      <c r="P994">
        <f t="shared" si="15"/>
        <v>-14141.69</v>
      </c>
      <c r="Q994" s="3">
        <f>Table2[[#This Row],[Gross_Profit]]/Table2[[#This Row],[Sales_Amount]]</f>
        <v>-6.5633046513138975</v>
      </c>
      <c r="R994" t="str">
        <f>TEXT(Table2[[#This Row],[Sale_Date]],"mmmm")</f>
        <v>February</v>
      </c>
      <c r="S994" s="4">
        <f>YEAR(Table2[[#This Row],[Sale_Date]])</f>
        <v>2023</v>
      </c>
    </row>
    <row r="995" spans="1:19" x14ac:dyDescent="0.35">
      <c r="A995">
        <v>1025</v>
      </c>
      <c r="B995" s="1">
        <v>45103</v>
      </c>
      <c r="C995" t="s">
        <v>24</v>
      </c>
      <c r="D995" t="s">
        <v>15</v>
      </c>
      <c r="E995">
        <v>2457.65</v>
      </c>
      <c r="F995">
        <v>47</v>
      </c>
      <c r="G995" t="s">
        <v>16</v>
      </c>
      <c r="H995">
        <v>3861.61</v>
      </c>
      <c r="I995">
        <v>3998.91</v>
      </c>
      <c r="J995" t="s">
        <v>30</v>
      </c>
      <c r="K995">
        <v>0.25</v>
      </c>
      <c r="L995" t="s">
        <v>31</v>
      </c>
      <c r="M995" t="s">
        <v>19</v>
      </c>
      <c r="N995" t="s">
        <v>45</v>
      </c>
      <c r="O995">
        <f>Table2[[#This Row],[Unit_Cost]]*Table2[[#This Row],[Quantity_Sold]]</f>
        <v>181495.67</v>
      </c>
      <c r="P995">
        <f t="shared" si="15"/>
        <v>-179038.02000000002</v>
      </c>
      <c r="Q995" s="3">
        <f>Table2[[#This Row],[Gross_Profit]]/Table2[[#This Row],[Sales_Amount]]</f>
        <v>-72.849274713649223</v>
      </c>
      <c r="R995" t="str">
        <f>TEXT(Table2[[#This Row],[Sale_Date]],"mmmm")</f>
        <v>June</v>
      </c>
      <c r="S995" s="4">
        <f>YEAR(Table2[[#This Row],[Sale_Date]])</f>
        <v>2023</v>
      </c>
    </row>
    <row r="996" spans="1:19" x14ac:dyDescent="0.35">
      <c r="A996">
        <v>1068</v>
      </c>
      <c r="B996" s="1">
        <v>45022</v>
      </c>
      <c r="C996" t="s">
        <v>42</v>
      </c>
      <c r="D996" t="s">
        <v>25</v>
      </c>
      <c r="E996">
        <v>9093.5</v>
      </c>
      <c r="F996">
        <v>31</v>
      </c>
      <c r="G996" t="s">
        <v>29</v>
      </c>
      <c r="H996">
        <v>3169.37</v>
      </c>
      <c r="I996">
        <v>3304.15</v>
      </c>
      <c r="J996" t="s">
        <v>17</v>
      </c>
      <c r="K996">
        <v>0.25</v>
      </c>
      <c r="L996" t="s">
        <v>31</v>
      </c>
      <c r="M996" t="s">
        <v>22</v>
      </c>
      <c r="N996" t="s">
        <v>43</v>
      </c>
      <c r="O996">
        <f>Table2[[#This Row],[Unit_Cost]]*Table2[[#This Row],[Quantity_Sold]]</f>
        <v>98250.47</v>
      </c>
      <c r="P996">
        <f t="shared" si="15"/>
        <v>-89156.97</v>
      </c>
      <c r="Q996" s="3">
        <f>Table2[[#This Row],[Gross_Profit]]/Table2[[#This Row],[Sales_Amount]]</f>
        <v>-9.8044724253587727</v>
      </c>
      <c r="R996" t="str">
        <f>TEXT(Table2[[#This Row],[Sale_Date]],"mmmm")</f>
        <v>April</v>
      </c>
      <c r="S996" s="4">
        <f>YEAR(Table2[[#This Row],[Sale_Date]])</f>
        <v>2023</v>
      </c>
    </row>
    <row r="997" spans="1:19" x14ac:dyDescent="0.35">
      <c r="A997">
        <v>1010</v>
      </c>
      <c r="B997" s="1">
        <v>45031</v>
      </c>
      <c r="C997" t="s">
        <v>33</v>
      </c>
      <c r="D997" t="s">
        <v>15</v>
      </c>
      <c r="E997">
        <v>4733.88</v>
      </c>
      <c r="F997">
        <v>4</v>
      </c>
      <c r="G997" t="s">
        <v>26</v>
      </c>
      <c r="H997">
        <v>4943.03</v>
      </c>
      <c r="I997">
        <v>5442.15</v>
      </c>
      <c r="J997" t="s">
        <v>17</v>
      </c>
      <c r="K997">
        <v>0.28999999999999998</v>
      </c>
      <c r="L997" t="s">
        <v>18</v>
      </c>
      <c r="M997" t="s">
        <v>19</v>
      </c>
      <c r="N997" t="s">
        <v>53</v>
      </c>
      <c r="O997">
        <f>Table2[[#This Row],[Unit_Cost]]*Table2[[#This Row],[Quantity_Sold]]</f>
        <v>19772.12</v>
      </c>
      <c r="P997">
        <f t="shared" si="15"/>
        <v>-15038.239999999998</v>
      </c>
      <c r="Q997" s="3">
        <f>Table2[[#This Row],[Gross_Profit]]/Table2[[#This Row],[Sales_Amount]]</f>
        <v>-3.176726068256905</v>
      </c>
      <c r="R997" t="str">
        <f>TEXT(Table2[[#This Row],[Sale_Date]],"mmmm")</f>
        <v>April</v>
      </c>
      <c r="S997" s="4">
        <f>YEAR(Table2[[#This Row],[Sale_Date]])</f>
        <v>2023</v>
      </c>
    </row>
    <row r="998" spans="1:19" x14ac:dyDescent="0.35">
      <c r="A998">
        <v>1067</v>
      </c>
      <c r="B998" s="1">
        <v>45176</v>
      </c>
      <c r="C998" t="s">
        <v>14</v>
      </c>
      <c r="D998" t="s">
        <v>15</v>
      </c>
      <c r="E998">
        <v>4716.3599999999997</v>
      </c>
      <c r="F998">
        <v>37</v>
      </c>
      <c r="G998" t="s">
        <v>29</v>
      </c>
      <c r="H998">
        <v>1754.32</v>
      </c>
      <c r="I998">
        <v>1856.3999999999901</v>
      </c>
      <c r="J998" t="s">
        <v>30</v>
      </c>
      <c r="K998">
        <v>0.21</v>
      </c>
      <c r="L998" t="s">
        <v>27</v>
      </c>
      <c r="M998" t="s">
        <v>22</v>
      </c>
      <c r="N998" t="s">
        <v>20</v>
      </c>
      <c r="O998">
        <f>Table2[[#This Row],[Unit_Cost]]*Table2[[#This Row],[Quantity_Sold]]</f>
        <v>64909.84</v>
      </c>
      <c r="P998">
        <f t="shared" si="15"/>
        <v>-60193.479999999996</v>
      </c>
      <c r="Q998" s="3">
        <f>Table2[[#This Row],[Gross_Profit]]/Table2[[#This Row],[Sales_Amount]]</f>
        <v>-12.762698352119006</v>
      </c>
      <c r="R998" t="str">
        <f>TEXT(Table2[[#This Row],[Sale_Date]],"mmmm")</f>
        <v>September</v>
      </c>
      <c r="S998" s="4">
        <f>YEAR(Table2[[#This Row],[Sale_Date]])</f>
        <v>2023</v>
      </c>
    </row>
    <row r="999" spans="1:19" x14ac:dyDescent="0.35">
      <c r="A999">
        <v>1018</v>
      </c>
      <c r="B999" s="1">
        <v>45043</v>
      </c>
      <c r="C999" t="s">
        <v>24</v>
      </c>
      <c r="D999" t="s">
        <v>25</v>
      </c>
      <c r="E999">
        <v>7629.7</v>
      </c>
      <c r="F999">
        <v>17</v>
      </c>
      <c r="G999" t="s">
        <v>29</v>
      </c>
      <c r="H999">
        <v>355.72</v>
      </c>
      <c r="I999">
        <v>438.27</v>
      </c>
      <c r="J999" t="s">
        <v>17</v>
      </c>
      <c r="K999">
        <v>0.06</v>
      </c>
      <c r="L999" t="s">
        <v>27</v>
      </c>
      <c r="M999" t="s">
        <v>19</v>
      </c>
      <c r="N999" t="s">
        <v>28</v>
      </c>
      <c r="O999">
        <f>Table2[[#This Row],[Unit_Cost]]*Table2[[#This Row],[Quantity_Sold]]</f>
        <v>6047.2400000000007</v>
      </c>
      <c r="P999">
        <f t="shared" si="15"/>
        <v>1582.4599999999991</v>
      </c>
      <c r="Q999" s="3">
        <f>Table2[[#This Row],[Gross_Profit]]/Table2[[#This Row],[Sales_Amount]]</f>
        <v>0.20740789283982322</v>
      </c>
      <c r="R999" t="str">
        <f>TEXT(Table2[[#This Row],[Sale_Date]],"mmmm")</f>
        <v>April</v>
      </c>
      <c r="S999" s="4">
        <f>YEAR(Table2[[#This Row],[Sale_Date]])</f>
        <v>2023</v>
      </c>
    </row>
    <row r="1000" spans="1:19" x14ac:dyDescent="0.35">
      <c r="A1000">
        <v>1100</v>
      </c>
      <c r="B1000" s="1">
        <v>45280</v>
      </c>
      <c r="C1000" t="s">
        <v>24</v>
      </c>
      <c r="D1000" t="s">
        <v>21</v>
      </c>
      <c r="E1000">
        <v>1629.47</v>
      </c>
      <c r="F1000">
        <v>39</v>
      </c>
      <c r="G1000" t="s">
        <v>35</v>
      </c>
      <c r="H1000">
        <v>3685.03</v>
      </c>
      <c r="I1000">
        <v>3743.39</v>
      </c>
      <c r="J1000" t="s">
        <v>30</v>
      </c>
      <c r="K1000">
        <v>0.01</v>
      </c>
      <c r="L1000" t="s">
        <v>27</v>
      </c>
      <c r="M1000" t="s">
        <v>19</v>
      </c>
      <c r="N1000" t="s">
        <v>47</v>
      </c>
      <c r="O1000">
        <f>Table2[[#This Row],[Unit_Cost]]*Table2[[#This Row],[Quantity_Sold]]</f>
        <v>143716.17000000001</v>
      </c>
      <c r="P1000">
        <f t="shared" si="15"/>
        <v>-142086.70000000001</v>
      </c>
      <c r="Q1000" s="3">
        <f>Table2[[#This Row],[Gross_Profit]]/Table2[[#This Row],[Sales_Amount]]</f>
        <v>-87.198107360061869</v>
      </c>
      <c r="R1000" t="str">
        <f>TEXT(Table2[[#This Row],[Sale_Date]],"mmmm")</f>
        <v>December</v>
      </c>
      <c r="S1000" s="4">
        <f>YEAR(Table2[[#This Row],[Sale_Date]])</f>
        <v>2023</v>
      </c>
    </row>
    <row r="1001" spans="1:19" x14ac:dyDescent="0.3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c r="O1001">
        <f>Table2[[#This Row],[Unit_Cost]]*Table2[[#This Row],[Quantity_Sold]]</f>
        <v>126363.84</v>
      </c>
      <c r="P1001">
        <f t="shared" si="15"/>
        <v>-121439.91</v>
      </c>
      <c r="Q1001" s="3">
        <f>Table2[[#This Row],[Gross_Profit]]/Table2[[#This Row],[Sales_Amount]]</f>
        <v>-24.663208047230565</v>
      </c>
      <c r="R1001" t="str">
        <f>TEXT(Table2[[#This Row],[Sale_Date]],"mmmm")</f>
        <v>August</v>
      </c>
      <c r="S1001" s="4">
        <f>YEAR(Table2[[#This Row],[Sale_Date]])</f>
        <v>2023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1"/>
  <sheetViews>
    <sheetView workbookViewId="0">
      <selection activeCell="P12" sqref="P12"/>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v>1052</v>
      </c>
      <c r="B2" s="1">
        <v>44960</v>
      </c>
      <c r="C2" t="s">
        <v>14</v>
      </c>
      <c r="D2" t="s">
        <v>15</v>
      </c>
      <c r="E2">
        <v>5053.97</v>
      </c>
      <c r="F2">
        <v>18</v>
      </c>
      <c r="G2" t="s">
        <v>16</v>
      </c>
      <c r="H2">
        <v>152.75</v>
      </c>
      <c r="I2">
        <v>267.22000000000003</v>
      </c>
      <c r="J2" t="s">
        <v>17</v>
      </c>
      <c r="K2">
        <v>0.09</v>
      </c>
      <c r="L2" t="s">
        <v>18</v>
      </c>
      <c r="M2" t="s">
        <v>19</v>
      </c>
      <c r="N2" t="s">
        <v>20</v>
      </c>
    </row>
    <row r="3" spans="1:14" x14ac:dyDescent="0.35">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5">
      <c r="A4">
        <v>1015</v>
      </c>
      <c r="B4" s="1">
        <v>45190</v>
      </c>
      <c r="C4" t="s">
        <v>24</v>
      </c>
      <c r="D4" t="s">
        <v>25</v>
      </c>
      <c r="E4">
        <v>4631.2299999999996</v>
      </c>
      <c r="F4">
        <v>30</v>
      </c>
      <c r="G4" t="s">
        <v>26</v>
      </c>
      <c r="H4">
        <v>261.56</v>
      </c>
      <c r="I4">
        <v>371.4</v>
      </c>
      <c r="J4" t="s">
        <v>17</v>
      </c>
      <c r="K4">
        <v>0.2</v>
      </c>
      <c r="L4" t="s">
        <v>27</v>
      </c>
      <c r="M4" t="s">
        <v>22</v>
      </c>
      <c r="N4" t="s">
        <v>28</v>
      </c>
    </row>
    <row r="5" spans="1:14" x14ac:dyDescent="0.35">
      <c r="A5">
        <v>1072</v>
      </c>
      <c r="B5" s="1">
        <v>45162</v>
      </c>
      <c r="C5" t="s">
        <v>14</v>
      </c>
      <c r="D5" t="s">
        <v>25</v>
      </c>
      <c r="E5">
        <v>2167.94</v>
      </c>
      <c r="F5">
        <v>39</v>
      </c>
      <c r="G5" t="s">
        <v>29</v>
      </c>
      <c r="H5">
        <v>4330.03</v>
      </c>
      <c r="I5">
        <v>4467.75</v>
      </c>
      <c r="J5" t="s">
        <v>30</v>
      </c>
      <c r="K5">
        <v>0.02</v>
      </c>
      <c r="L5" t="s">
        <v>31</v>
      </c>
      <c r="M5" t="s">
        <v>22</v>
      </c>
      <c r="N5" t="s">
        <v>32</v>
      </c>
    </row>
    <row r="6" spans="1:14" x14ac:dyDescent="0.35">
      <c r="A6">
        <v>1061</v>
      </c>
      <c r="B6" s="1">
        <v>45009</v>
      </c>
      <c r="C6" t="s">
        <v>33</v>
      </c>
      <c r="D6" t="s">
        <v>34</v>
      </c>
      <c r="E6">
        <v>3750.2</v>
      </c>
      <c r="F6">
        <v>13</v>
      </c>
      <c r="G6" t="s">
        <v>35</v>
      </c>
      <c r="H6">
        <v>637.37</v>
      </c>
      <c r="I6">
        <v>692.71</v>
      </c>
      <c r="J6" t="s">
        <v>30</v>
      </c>
      <c r="K6">
        <v>0.08</v>
      </c>
      <c r="L6" t="s">
        <v>31</v>
      </c>
      <c r="M6" t="s">
        <v>19</v>
      </c>
      <c r="N6" t="s">
        <v>36</v>
      </c>
    </row>
    <row r="7" spans="1:14" x14ac:dyDescent="0.35">
      <c r="A7">
        <v>1021</v>
      </c>
      <c r="B7" s="1">
        <v>44968</v>
      </c>
      <c r="C7" t="s">
        <v>33</v>
      </c>
      <c r="D7" t="s">
        <v>21</v>
      </c>
      <c r="E7">
        <v>3761.15</v>
      </c>
      <c r="F7">
        <v>32</v>
      </c>
      <c r="G7" t="s">
        <v>26</v>
      </c>
      <c r="H7">
        <v>900.79</v>
      </c>
      <c r="I7">
        <v>1106.51</v>
      </c>
      <c r="J7" t="s">
        <v>30</v>
      </c>
      <c r="K7">
        <v>0.21</v>
      </c>
      <c r="L7" t="s">
        <v>18</v>
      </c>
      <c r="M7" t="s">
        <v>19</v>
      </c>
      <c r="N7" t="s">
        <v>37</v>
      </c>
    </row>
    <row r="8" spans="1:14" x14ac:dyDescent="0.35">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5">
      <c r="A9">
        <v>1087</v>
      </c>
      <c r="B9" s="1">
        <v>44932</v>
      </c>
      <c r="C9" t="s">
        <v>38</v>
      </c>
      <c r="D9" t="s">
        <v>25</v>
      </c>
      <c r="E9">
        <v>7698.92</v>
      </c>
      <c r="F9">
        <v>46</v>
      </c>
      <c r="G9" t="s">
        <v>16</v>
      </c>
      <c r="H9">
        <v>3702.51</v>
      </c>
      <c r="I9">
        <v>3964.65</v>
      </c>
      <c r="J9" t="s">
        <v>30</v>
      </c>
      <c r="K9">
        <v>0.12</v>
      </c>
      <c r="L9" t="s">
        <v>27</v>
      </c>
      <c r="M9" t="s">
        <v>19</v>
      </c>
      <c r="N9" t="s">
        <v>39</v>
      </c>
    </row>
    <row r="10" spans="1:14" x14ac:dyDescent="0.35">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5">
      <c r="A11">
        <v>1075</v>
      </c>
      <c r="B11" s="1">
        <v>45208</v>
      </c>
      <c r="C11" t="s">
        <v>33</v>
      </c>
      <c r="D11" t="s">
        <v>21</v>
      </c>
      <c r="E11">
        <v>8239.58</v>
      </c>
      <c r="F11">
        <v>18</v>
      </c>
      <c r="G11" t="s">
        <v>29</v>
      </c>
      <c r="H11">
        <v>2228.35</v>
      </c>
      <c r="I11">
        <v>2682.34</v>
      </c>
      <c r="J11" t="s">
        <v>30</v>
      </c>
      <c r="K11">
        <v>0.13</v>
      </c>
      <c r="L11" t="s">
        <v>27</v>
      </c>
      <c r="M11" t="s">
        <v>19</v>
      </c>
      <c r="N11" t="s">
        <v>37</v>
      </c>
    </row>
    <row r="12" spans="1:14" x14ac:dyDescent="0.35">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5">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5">
      <c r="A14">
        <v>1024</v>
      </c>
      <c r="B14" s="1">
        <v>45241</v>
      </c>
      <c r="C14" t="s">
        <v>38</v>
      </c>
      <c r="D14" t="s">
        <v>21</v>
      </c>
      <c r="E14">
        <v>6607.8</v>
      </c>
      <c r="F14">
        <v>21</v>
      </c>
      <c r="G14" t="s">
        <v>26</v>
      </c>
      <c r="H14">
        <v>622.01</v>
      </c>
      <c r="I14">
        <v>641.09</v>
      </c>
      <c r="J14" t="s">
        <v>17</v>
      </c>
      <c r="K14">
        <v>0</v>
      </c>
      <c r="L14" t="s">
        <v>27</v>
      </c>
      <c r="M14" t="s">
        <v>22</v>
      </c>
      <c r="N14" t="s">
        <v>41</v>
      </c>
    </row>
    <row r="15" spans="1:14" x14ac:dyDescent="0.35">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5">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5">
      <c r="A17">
        <v>1053</v>
      </c>
      <c r="B17" s="1">
        <v>45215</v>
      </c>
      <c r="C17" t="s">
        <v>14</v>
      </c>
      <c r="D17" t="s">
        <v>15</v>
      </c>
      <c r="E17">
        <v>2235.83</v>
      </c>
      <c r="F17">
        <v>48</v>
      </c>
      <c r="G17" t="s">
        <v>16</v>
      </c>
      <c r="H17">
        <v>121.19</v>
      </c>
      <c r="I17">
        <v>487.65</v>
      </c>
      <c r="J17" t="s">
        <v>30</v>
      </c>
      <c r="K17">
        <v>0.18</v>
      </c>
      <c r="L17" t="s">
        <v>18</v>
      </c>
      <c r="M17" t="s">
        <v>22</v>
      </c>
      <c r="N17" t="s">
        <v>20</v>
      </c>
    </row>
    <row r="18" spans="1:14" x14ac:dyDescent="0.35">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5">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5">
      <c r="A20">
        <v>1030</v>
      </c>
      <c r="B20" s="1">
        <v>45124</v>
      </c>
      <c r="C20" t="s">
        <v>24</v>
      </c>
      <c r="D20" t="s">
        <v>21</v>
      </c>
      <c r="E20">
        <v>3023.48</v>
      </c>
      <c r="F20">
        <v>19</v>
      </c>
      <c r="G20" t="s">
        <v>29</v>
      </c>
      <c r="H20">
        <v>3049.33</v>
      </c>
      <c r="I20">
        <v>3209.22</v>
      </c>
      <c r="J20" t="s">
        <v>17</v>
      </c>
      <c r="K20">
        <v>0.26</v>
      </c>
      <c r="L20" t="s">
        <v>18</v>
      </c>
      <c r="M20" t="s">
        <v>19</v>
      </c>
      <c r="N20" t="s">
        <v>47</v>
      </c>
    </row>
    <row r="21" spans="1:14" x14ac:dyDescent="0.35">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5">
      <c r="A22">
        <v>1002</v>
      </c>
      <c r="B22" s="1">
        <v>45038</v>
      </c>
      <c r="C22" t="s">
        <v>38</v>
      </c>
      <c r="D22" t="s">
        <v>15</v>
      </c>
      <c r="E22">
        <v>6551.23</v>
      </c>
      <c r="F22">
        <v>9</v>
      </c>
      <c r="G22" t="s">
        <v>35</v>
      </c>
      <c r="H22">
        <v>4398.16</v>
      </c>
      <c r="I22">
        <v>4439.12</v>
      </c>
      <c r="J22" t="s">
        <v>30</v>
      </c>
      <c r="K22">
        <v>0.18</v>
      </c>
      <c r="L22" t="s">
        <v>27</v>
      </c>
      <c r="M22" t="s">
        <v>19</v>
      </c>
      <c r="N22" t="s">
        <v>40</v>
      </c>
    </row>
    <row r="23" spans="1:14" x14ac:dyDescent="0.35">
      <c r="A23">
        <v>1064</v>
      </c>
      <c r="B23" s="1">
        <v>44930</v>
      </c>
      <c r="C23" t="s">
        <v>38</v>
      </c>
      <c r="D23" t="s">
        <v>34</v>
      </c>
      <c r="E23">
        <v>7412.11</v>
      </c>
      <c r="F23">
        <v>10</v>
      </c>
      <c r="G23" t="s">
        <v>35</v>
      </c>
      <c r="H23">
        <v>4764.96</v>
      </c>
      <c r="I23">
        <v>5074.42</v>
      </c>
      <c r="J23" t="s">
        <v>30</v>
      </c>
      <c r="K23">
        <v>0.12</v>
      </c>
      <c r="L23" t="s">
        <v>18</v>
      </c>
      <c r="M23" t="s">
        <v>19</v>
      </c>
      <c r="N23" t="s">
        <v>48</v>
      </c>
    </row>
    <row r="24" spans="1:14" x14ac:dyDescent="0.35">
      <c r="A24">
        <v>1060</v>
      </c>
      <c r="B24" s="1">
        <v>45276</v>
      </c>
      <c r="C24" t="s">
        <v>38</v>
      </c>
      <c r="D24" t="s">
        <v>34</v>
      </c>
      <c r="E24">
        <v>3224.71</v>
      </c>
      <c r="F24">
        <v>44</v>
      </c>
      <c r="G24" t="s">
        <v>29</v>
      </c>
      <c r="H24">
        <v>3784.96</v>
      </c>
      <c r="I24">
        <v>4276.99</v>
      </c>
      <c r="J24" t="s">
        <v>30</v>
      </c>
      <c r="K24">
        <v>0.06</v>
      </c>
      <c r="L24" t="s">
        <v>27</v>
      </c>
      <c r="M24" t="s">
        <v>22</v>
      </c>
      <c r="N24" t="s">
        <v>48</v>
      </c>
    </row>
    <row r="25" spans="1:14" x14ac:dyDescent="0.35">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5">
      <c r="A26">
        <v>1033</v>
      </c>
      <c r="B26" s="1">
        <v>45244</v>
      </c>
      <c r="C26" t="s">
        <v>24</v>
      </c>
      <c r="D26" t="s">
        <v>25</v>
      </c>
      <c r="E26">
        <v>4011.8</v>
      </c>
      <c r="F26">
        <v>23</v>
      </c>
      <c r="G26" t="s">
        <v>16</v>
      </c>
      <c r="H26">
        <v>2981.5</v>
      </c>
      <c r="I26">
        <v>3360.4</v>
      </c>
      <c r="J26" t="s">
        <v>17</v>
      </c>
      <c r="K26">
        <v>0.22</v>
      </c>
      <c r="L26" t="s">
        <v>27</v>
      </c>
      <c r="M26" t="s">
        <v>22</v>
      </c>
      <c r="N26" t="s">
        <v>28</v>
      </c>
    </row>
    <row r="27" spans="1:14" x14ac:dyDescent="0.35">
      <c r="A27">
        <v>1076</v>
      </c>
      <c r="B27" s="1">
        <v>45276</v>
      </c>
      <c r="C27" t="s">
        <v>38</v>
      </c>
      <c r="D27" t="s">
        <v>34</v>
      </c>
      <c r="E27">
        <v>7160.75</v>
      </c>
      <c r="F27">
        <v>30</v>
      </c>
      <c r="G27" t="s">
        <v>29</v>
      </c>
      <c r="H27">
        <v>3519.63</v>
      </c>
      <c r="I27">
        <v>3774.65</v>
      </c>
      <c r="J27" t="s">
        <v>30</v>
      </c>
      <c r="K27">
        <v>0.2</v>
      </c>
      <c r="L27" t="s">
        <v>31</v>
      </c>
      <c r="M27" t="s">
        <v>22</v>
      </c>
      <c r="N27" t="s">
        <v>48</v>
      </c>
    </row>
    <row r="28" spans="1:14" x14ac:dyDescent="0.35">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5">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5">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5">
      <c r="A31">
        <v>1049</v>
      </c>
      <c r="B31" s="1">
        <v>45063</v>
      </c>
      <c r="C31" t="s">
        <v>42</v>
      </c>
      <c r="D31" t="s">
        <v>21</v>
      </c>
      <c r="E31">
        <v>3741.08</v>
      </c>
      <c r="F31">
        <v>1</v>
      </c>
      <c r="G31" t="s">
        <v>16</v>
      </c>
      <c r="H31">
        <v>3290.89</v>
      </c>
      <c r="I31">
        <v>3317.75</v>
      </c>
      <c r="J31" t="s">
        <v>17</v>
      </c>
      <c r="K31">
        <v>0.17</v>
      </c>
      <c r="L31" t="s">
        <v>27</v>
      </c>
      <c r="M31" t="s">
        <v>19</v>
      </c>
      <c r="N31" t="s">
        <v>51</v>
      </c>
    </row>
    <row r="32" spans="1:14" x14ac:dyDescent="0.35">
      <c r="A32">
        <v>1091</v>
      </c>
      <c r="B32" s="1">
        <v>45173</v>
      </c>
      <c r="C32" t="s">
        <v>33</v>
      </c>
      <c r="D32" t="s">
        <v>25</v>
      </c>
      <c r="E32">
        <v>675.11</v>
      </c>
      <c r="F32">
        <v>44</v>
      </c>
      <c r="G32" t="s">
        <v>26</v>
      </c>
      <c r="H32">
        <v>2085.46</v>
      </c>
      <c r="I32">
        <v>2406.58</v>
      </c>
      <c r="J32" t="s">
        <v>17</v>
      </c>
      <c r="K32">
        <v>0.06</v>
      </c>
      <c r="L32" t="s">
        <v>27</v>
      </c>
      <c r="M32" t="s">
        <v>22</v>
      </c>
      <c r="N32" t="s">
        <v>44</v>
      </c>
    </row>
    <row r="33" spans="1:14" x14ac:dyDescent="0.35">
      <c r="A33">
        <v>1059</v>
      </c>
      <c r="B33" s="1">
        <v>45169</v>
      </c>
      <c r="C33" t="s">
        <v>42</v>
      </c>
      <c r="D33" t="s">
        <v>15</v>
      </c>
      <c r="E33">
        <v>1203.97</v>
      </c>
      <c r="F33">
        <v>35</v>
      </c>
      <c r="G33" t="s">
        <v>26</v>
      </c>
      <c r="H33">
        <v>3333.64</v>
      </c>
      <c r="I33">
        <v>3764.52</v>
      </c>
      <c r="J33" t="s">
        <v>17</v>
      </c>
      <c r="K33">
        <v>0.02</v>
      </c>
      <c r="L33" t="s">
        <v>31</v>
      </c>
      <c r="M33" t="s">
        <v>19</v>
      </c>
      <c r="N33" t="s">
        <v>49</v>
      </c>
    </row>
    <row r="34" spans="1:14" x14ac:dyDescent="0.35">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5">
      <c r="A35">
        <v>1092</v>
      </c>
      <c r="B35" s="1">
        <v>44966</v>
      </c>
      <c r="C35" t="s">
        <v>24</v>
      </c>
      <c r="D35" t="s">
        <v>21</v>
      </c>
      <c r="E35">
        <v>2749.17</v>
      </c>
      <c r="F35">
        <v>34</v>
      </c>
      <c r="G35" t="s">
        <v>16</v>
      </c>
      <c r="H35">
        <v>2037.41</v>
      </c>
      <c r="I35">
        <v>2238.65</v>
      </c>
      <c r="J35" t="s">
        <v>30</v>
      </c>
      <c r="K35">
        <v>0.3</v>
      </c>
      <c r="L35" t="s">
        <v>31</v>
      </c>
      <c r="M35" t="s">
        <v>19</v>
      </c>
      <c r="N35" t="s">
        <v>47</v>
      </c>
    </row>
    <row r="36" spans="1:14" x14ac:dyDescent="0.35">
      <c r="A36">
        <v>1060</v>
      </c>
      <c r="B36" s="1">
        <v>45155</v>
      </c>
      <c r="C36" t="s">
        <v>14</v>
      </c>
      <c r="D36" t="s">
        <v>34</v>
      </c>
      <c r="E36">
        <v>8371.25</v>
      </c>
      <c r="F36">
        <v>16</v>
      </c>
      <c r="G36" t="s">
        <v>29</v>
      </c>
      <c r="H36">
        <v>3975.99</v>
      </c>
      <c r="I36">
        <v>4422.59</v>
      </c>
      <c r="J36" t="s">
        <v>30</v>
      </c>
      <c r="K36">
        <v>0.24</v>
      </c>
      <c r="L36" t="s">
        <v>18</v>
      </c>
      <c r="M36" t="s">
        <v>19</v>
      </c>
      <c r="N36" t="s">
        <v>46</v>
      </c>
    </row>
    <row r="37" spans="1:14" x14ac:dyDescent="0.35">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5">
      <c r="A38">
        <v>1015</v>
      </c>
      <c r="B38" s="1">
        <v>45149</v>
      </c>
      <c r="C38" t="s">
        <v>38</v>
      </c>
      <c r="D38" t="s">
        <v>34</v>
      </c>
      <c r="E38">
        <v>3853.03</v>
      </c>
      <c r="F38">
        <v>32</v>
      </c>
      <c r="G38" t="s">
        <v>16</v>
      </c>
      <c r="H38">
        <v>970.51</v>
      </c>
      <c r="I38">
        <v>1330.84</v>
      </c>
      <c r="J38" t="s">
        <v>17</v>
      </c>
      <c r="K38">
        <v>0.06</v>
      </c>
      <c r="L38" t="s">
        <v>18</v>
      </c>
      <c r="M38" t="s">
        <v>22</v>
      </c>
      <c r="N38" t="s">
        <v>48</v>
      </c>
    </row>
    <row r="39" spans="1:14" x14ac:dyDescent="0.35">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5">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5">
      <c r="A41">
        <v>1047</v>
      </c>
      <c r="B41" s="1">
        <v>45146</v>
      </c>
      <c r="C41" t="s">
        <v>24</v>
      </c>
      <c r="D41" t="s">
        <v>15</v>
      </c>
      <c r="E41">
        <v>1331.25</v>
      </c>
      <c r="F41">
        <v>33</v>
      </c>
      <c r="G41" t="s">
        <v>35</v>
      </c>
      <c r="H41">
        <v>1341.55</v>
      </c>
      <c r="I41">
        <v>1427.21</v>
      </c>
      <c r="J41" t="s">
        <v>17</v>
      </c>
      <c r="K41">
        <v>0.15</v>
      </c>
      <c r="L41" t="s">
        <v>31</v>
      </c>
      <c r="M41" t="s">
        <v>19</v>
      </c>
      <c r="N41" t="s">
        <v>45</v>
      </c>
    </row>
    <row r="42" spans="1:14" x14ac:dyDescent="0.35">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5">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5">
      <c r="A44">
        <v>1055</v>
      </c>
      <c r="B44" s="1">
        <v>45261</v>
      </c>
      <c r="C44" t="s">
        <v>33</v>
      </c>
      <c r="D44" t="s">
        <v>21</v>
      </c>
      <c r="E44">
        <v>4102.47</v>
      </c>
      <c r="F44">
        <v>8</v>
      </c>
      <c r="G44" t="s">
        <v>16</v>
      </c>
      <c r="H44">
        <v>3513</v>
      </c>
      <c r="I44">
        <v>3838.42</v>
      </c>
      <c r="J44" t="s">
        <v>17</v>
      </c>
      <c r="K44">
        <v>0.13</v>
      </c>
      <c r="L44" t="s">
        <v>27</v>
      </c>
      <c r="M44" t="s">
        <v>19</v>
      </c>
      <c r="N44" t="s">
        <v>37</v>
      </c>
    </row>
    <row r="45" spans="1:14" x14ac:dyDescent="0.35">
      <c r="A45">
        <v>1064</v>
      </c>
      <c r="B45" s="1">
        <v>45060</v>
      </c>
      <c r="C45" t="s">
        <v>14</v>
      </c>
      <c r="D45" t="s">
        <v>25</v>
      </c>
      <c r="E45">
        <v>5356.28</v>
      </c>
      <c r="F45">
        <v>8</v>
      </c>
      <c r="G45" t="s">
        <v>35</v>
      </c>
      <c r="H45">
        <v>4271.99</v>
      </c>
      <c r="I45">
        <v>4417.79</v>
      </c>
      <c r="J45" t="s">
        <v>17</v>
      </c>
      <c r="K45">
        <v>0.04</v>
      </c>
      <c r="L45" t="s">
        <v>18</v>
      </c>
      <c r="M45" t="s">
        <v>19</v>
      </c>
      <c r="N45" t="s">
        <v>32</v>
      </c>
    </row>
    <row r="46" spans="1:14" x14ac:dyDescent="0.35">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5">
      <c r="A47">
        <v>1051</v>
      </c>
      <c r="B47" s="1">
        <v>45020</v>
      </c>
      <c r="C47" t="s">
        <v>14</v>
      </c>
      <c r="D47" t="s">
        <v>34</v>
      </c>
      <c r="E47">
        <v>198.25</v>
      </c>
      <c r="F47">
        <v>12</v>
      </c>
      <c r="G47" t="s">
        <v>35</v>
      </c>
      <c r="H47">
        <v>3544.48</v>
      </c>
      <c r="I47">
        <v>3723.66</v>
      </c>
      <c r="J47" t="s">
        <v>17</v>
      </c>
      <c r="K47">
        <v>0.19</v>
      </c>
      <c r="L47" t="s">
        <v>18</v>
      </c>
      <c r="M47" t="s">
        <v>19</v>
      </c>
      <c r="N47" t="s">
        <v>46</v>
      </c>
    </row>
    <row r="48" spans="1:14" x14ac:dyDescent="0.35">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5">
      <c r="A49">
        <v>1021</v>
      </c>
      <c r="B49" s="1">
        <v>45120</v>
      </c>
      <c r="C49" t="s">
        <v>14</v>
      </c>
      <c r="D49" t="s">
        <v>21</v>
      </c>
      <c r="E49">
        <v>9638.64</v>
      </c>
      <c r="F49">
        <v>43</v>
      </c>
      <c r="G49" t="s">
        <v>16</v>
      </c>
      <c r="H49">
        <v>4154.3</v>
      </c>
      <c r="I49">
        <v>4469.07</v>
      </c>
      <c r="J49" t="s">
        <v>17</v>
      </c>
      <c r="K49">
        <v>0.23</v>
      </c>
      <c r="L49" t="s">
        <v>18</v>
      </c>
      <c r="M49" t="s">
        <v>22</v>
      </c>
      <c r="N49" t="s">
        <v>23</v>
      </c>
    </row>
    <row r="50" spans="1:14" x14ac:dyDescent="0.35">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5">
      <c r="A51">
        <v>1039</v>
      </c>
      <c r="B51" s="1">
        <v>45129</v>
      </c>
      <c r="C51" t="s">
        <v>42</v>
      </c>
      <c r="D51" t="s">
        <v>34</v>
      </c>
      <c r="E51">
        <v>6807.67</v>
      </c>
      <c r="F51">
        <v>42</v>
      </c>
      <c r="G51" t="s">
        <v>29</v>
      </c>
      <c r="H51">
        <v>3120.19</v>
      </c>
      <c r="I51">
        <v>3600.14</v>
      </c>
      <c r="J51" t="s">
        <v>17</v>
      </c>
      <c r="K51">
        <v>0.19</v>
      </c>
      <c r="L51" t="s">
        <v>31</v>
      </c>
      <c r="M51" t="s">
        <v>22</v>
      </c>
      <c r="N51" t="s">
        <v>52</v>
      </c>
    </row>
    <row r="52" spans="1:14" x14ac:dyDescent="0.35">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5">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5">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5">
      <c r="A55">
        <v>1060</v>
      </c>
      <c r="B55" s="1">
        <v>45059</v>
      </c>
      <c r="C55" t="s">
        <v>33</v>
      </c>
      <c r="D55" t="s">
        <v>21</v>
      </c>
      <c r="E55">
        <v>5260.83</v>
      </c>
      <c r="F55">
        <v>31</v>
      </c>
      <c r="G55" t="s">
        <v>35</v>
      </c>
      <c r="H55">
        <v>3161.4</v>
      </c>
      <c r="I55">
        <v>3339.66</v>
      </c>
      <c r="J55" t="s">
        <v>17</v>
      </c>
      <c r="K55">
        <v>0.02</v>
      </c>
      <c r="L55" t="s">
        <v>27</v>
      </c>
      <c r="M55" t="s">
        <v>19</v>
      </c>
      <c r="N55" t="s">
        <v>37</v>
      </c>
    </row>
    <row r="56" spans="1:14" x14ac:dyDescent="0.35">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5">
      <c r="A57">
        <v>1009</v>
      </c>
      <c r="B57" s="1">
        <v>45044</v>
      </c>
      <c r="C57" t="s">
        <v>42</v>
      </c>
      <c r="D57" t="s">
        <v>15</v>
      </c>
      <c r="E57">
        <v>1342.95</v>
      </c>
      <c r="F57">
        <v>33</v>
      </c>
      <c r="G57" t="s">
        <v>29</v>
      </c>
      <c r="H57">
        <v>2278.9</v>
      </c>
      <c r="I57">
        <v>2626.9</v>
      </c>
      <c r="J57" t="s">
        <v>30</v>
      </c>
      <c r="K57">
        <v>0.05</v>
      </c>
      <c r="L57" t="s">
        <v>31</v>
      </c>
      <c r="M57" t="s">
        <v>19</v>
      </c>
      <c r="N57" t="s">
        <v>49</v>
      </c>
    </row>
    <row r="58" spans="1:14" x14ac:dyDescent="0.35">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5">
      <c r="A59">
        <v>1053</v>
      </c>
      <c r="B59" s="1">
        <v>45201</v>
      </c>
      <c r="C59" t="s">
        <v>24</v>
      </c>
      <c r="D59" t="s">
        <v>34</v>
      </c>
      <c r="E59">
        <v>7724.57</v>
      </c>
      <c r="F59">
        <v>29</v>
      </c>
      <c r="G59" t="s">
        <v>35</v>
      </c>
      <c r="H59">
        <v>3741.3</v>
      </c>
      <c r="I59">
        <v>4061.04</v>
      </c>
      <c r="J59" t="s">
        <v>17</v>
      </c>
      <c r="K59">
        <v>0.21</v>
      </c>
      <c r="L59" t="s">
        <v>31</v>
      </c>
      <c r="M59" t="s">
        <v>19</v>
      </c>
      <c r="N59" t="s">
        <v>50</v>
      </c>
    </row>
    <row r="60" spans="1:14" x14ac:dyDescent="0.35">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5">
      <c r="A61">
        <v>1084</v>
      </c>
      <c r="B61" s="1">
        <v>45151</v>
      </c>
      <c r="C61" t="s">
        <v>42</v>
      </c>
      <c r="D61" t="s">
        <v>21</v>
      </c>
      <c r="E61">
        <v>1290.05</v>
      </c>
      <c r="F61">
        <v>21</v>
      </c>
      <c r="G61" t="s">
        <v>16</v>
      </c>
      <c r="H61">
        <v>3497.98</v>
      </c>
      <c r="I61">
        <v>3765.31</v>
      </c>
      <c r="J61" t="s">
        <v>30</v>
      </c>
      <c r="K61">
        <v>0.08</v>
      </c>
      <c r="L61" t="s">
        <v>18</v>
      </c>
      <c r="M61" t="s">
        <v>19</v>
      </c>
      <c r="N61" t="s">
        <v>51</v>
      </c>
    </row>
    <row r="62" spans="1:14" x14ac:dyDescent="0.35">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5">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5">
      <c r="A64">
        <v>1071</v>
      </c>
      <c r="B64" s="1">
        <v>45066</v>
      </c>
      <c r="C64" t="s">
        <v>38</v>
      </c>
      <c r="D64" t="s">
        <v>21</v>
      </c>
      <c r="E64">
        <v>3003.76</v>
      </c>
      <c r="F64">
        <v>6</v>
      </c>
      <c r="G64" t="s">
        <v>16</v>
      </c>
      <c r="H64">
        <v>2831.23</v>
      </c>
      <c r="I64">
        <v>3206.98</v>
      </c>
      <c r="J64" t="s">
        <v>17</v>
      </c>
      <c r="K64">
        <v>0.06</v>
      </c>
      <c r="L64" t="s">
        <v>27</v>
      </c>
      <c r="M64" t="s">
        <v>22</v>
      </c>
      <c r="N64" t="s">
        <v>41</v>
      </c>
    </row>
    <row r="65" spans="1:14" x14ac:dyDescent="0.35">
      <c r="A65">
        <v>1044</v>
      </c>
      <c r="B65" s="1">
        <v>44973</v>
      </c>
      <c r="C65" t="s">
        <v>24</v>
      </c>
      <c r="D65" t="s">
        <v>25</v>
      </c>
      <c r="E65">
        <v>7754.1</v>
      </c>
      <c r="F65">
        <v>22</v>
      </c>
      <c r="G65" t="s">
        <v>26</v>
      </c>
      <c r="H65">
        <v>3373.46</v>
      </c>
      <c r="I65">
        <v>3454.76</v>
      </c>
      <c r="J65" t="s">
        <v>17</v>
      </c>
      <c r="K65">
        <v>0.22</v>
      </c>
      <c r="L65" t="s">
        <v>27</v>
      </c>
      <c r="M65" t="s">
        <v>22</v>
      </c>
      <c r="N65" t="s">
        <v>28</v>
      </c>
    </row>
    <row r="66" spans="1:14" x14ac:dyDescent="0.35">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5">
      <c r="A67">
        <v>1047</v>
      </c>
      <c r="B67" s="1">
        <v>45016</v>
      </c>
      <c r="C67" t="s">
        <v>42</v>
      </c>
      <c r="D67" t="s">
        <v>34</v>
      </c>
      <c r="E67">
        <v>3546.15</v>
      </c>
      <c r="F67">
        <v>37</v>
      </c>
      <c r="G67" t="s">
        <v>35</v>
      </c>
      <c r="H67">
        <v>3114.88</v>
      </c>
      <c r="I67">
        <v>3256.78</v>
      </c>
      <c r="J67" t="s">
        <v>17</v>
      </c>
      <c r="K67">
        <v>0.26</v>
      </c>
      <c r="L67" t="s">
        <v>31</v>
      </c>
      <c r="M67" t="s">
        <v>19</v>
      </c>
      <c r="N67" t="s">
        <v>52</v>
      </c>
    </row>
    <row r="68" spans="1:14" x14ac:dyDescent="0.35">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5">
      <c r="A69">
        <v>1078</v>
      </c>
      <c r="B69" s="1">
        <v>45246</v>
      </c>
      <c r="C69" t="s">
        <v>24</v>
      </c>
      <c r="D69" t="s">
        <v>34</v>
      </c>
      <c r="E69">
        <v>113.4</v>
      </c>
      <c r="F69">
        <v>8</v>
      </c>
      <c r="G69" t="s">
        <v>16</v>
      </c>
      <c r="H69">
        <v>3459.61</v>
      </c>
      <c r="I69">
        <v>3657.23</v>
      </c>
      <c r="J69" t="s">
        <v>17</v>
      </c>
      <c r="K69">
        <v>0.03</v>
      </c>
      <c r="L69" t="s">
        <v>27</v>
      </c>
      <c r="M69" t="s">
        <v>19</v>
      </c>
      <c r="N69" t="s">
        <v>50</v>
      </c>
    </row>
    <row r="70" spans="1:14" x14ac:dyDescent="0.35">
      <c r="A70">
        <v>1081</v>
      </c>
      <c r="B70" s="1">
        <v>44964</v>
      </c>
      <c r="C70" t="s">
        <v>24</v>
      </c>
      <c r="D70" t="s">
        <v>34</v>
      </c>
      <c r="E70">
        <v>3068.03</v>
      </c>
      <c r="F70">
        <v>41</v>
      </c>
      <c r="G70" t="s">
        <v>16</v>
      </c>
      <c r="H70">
        <v>2782.08</v>
      </c>
      <c r="I70">
        <v>2879.24</v>
      </c>
      <c r="J70" t="s">
        <v>30</v>
      </c>
      <c r="K70">
        <v>0.21</v>
      </c>
      <c r="L70" t="s">
        <v>27</v>
      </c>
      <c r="M70" t="s">
        <v>19</v>
      </c>
      <c r="N70" t="s">
        <v>50</v>
      </c>
    </row>
    <row r="71" spans="1:14" x14ac:dyDescent="0.35">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5">
      <c r="A72">
        <v>1050</v>
      </c>
      <c r="B72" s="1">
        <v>45065</v>
      </c>
      <c r="C72" t="s">
        <v>33</v>
      </c>
      <c r="D72" t="s">
        <v>34</v>
      </c>
      <c r="E72">
        <v>9744.52</v>
      </c>
      <c r="F72">
        <v>35</v>
      </c>
      <c r="G72" t="s">
        <v>29</v>
      </c>
      <c r="H72">
        <v>2158.69</v>
      </c>
      <c r="I72">
        <v>2384.38</v>
      </c>
      <c r="J72" t="s">
        <v>17</v>
      </c>
      <c r="K72">
        <v>0.09</v>
      </c>
      <c r="L72" t="s">
        <v>27</v>
      </c>
      <c r="M72" t="s">
        <v>22</v>
      </c>
      <c r="N72" t="s">
        <v>36</v>
      </c>
    </row>
    <row r="73" spans="1:14" x14ac:dyDescent="0.35">
      <c r="A73">
        <v>1004</v>
      </c>
      <c r="B73" s="1">
        <v>45282</v>
      </c>
      <c r="C73" t="s">
        <v>38</v>
      </c>
      <c r="D73" t="s">
        <v>15</v>
      </c>
      <c r="E73">
        <v>8485.9</v>
      </c>
      <c r="F73">
        <v>11</v>
      </c>
      <c r="G73" t="s">
        <v>29</v>
      </c>
      <c r="H73">
        <v>4840.33</v>
      </c>
      <c r="I73">
        <v>4884.29</v>
      </c>
      <c r="J73" t="s">
        <v>30</v>
      </c>
      <c r="K73">
        <v>0.13</v>
      </c>
      <c r="L73" t="s">
        <v>18</v>
      </c>
      <c r="M73" t="s">
        <v>19</v>
      </c>
      <c r="N73" t="s">
        <v>40</v>
      </c>
    </row>
    <row r="74" spans="1:14" x14ac:dyDescent="0.35">
      <c r="A74">
        <v>1002</v>
      </c>
      <c r="B74" s="1">
        <v>45259</v>
      </c>
      <c r="C74" t="s">
        <v>24</v>
      </c>
      <c r="D74" t="s">
        <v>15</v>
      </c>
      <c r="E74">
        <v>333.59</v>
      </c>
      <c r="F74">
        <v>24</v>
      </c>
      <c r="G74" t="s">
        <v>16</v>
      </c>
      <c r="H74">
        <v>3305.94</v>
      </c>
      <c r="I74">
        <v>3599.27</v>
      </c>
      <c r="J74" t="s">
        <v>30</v>
      </c>
      <c r="K74">
        <v>0.09</v>
      </c>
      <c r="L74" t="s">
        <v>31</v>
      </c>
      <c r="M74" t="s">
        <v>22</v>
      </c>
      <c r="N74" t="s">
        <v>45</v>
      </c>
    </row>
    <row r="75" spans="1:14" x14ac:dyDescent="0.35">
      <c r="A75">
        <v>1006</v>
      </c>
      <c r="B75" s="1">
        <v>45185</v>
      </c>
      <c r="C75" t="s">
        <v>14</v>
      </c>
      <c r="D75" t="s">
        <v>15</v>
      </c>
      <c r="E75">
        <v>8995.75</v>
      </c>
      <c r="F75">
        <v>49</v>
      </c>
      <c r="G75" t="s">
        <v>26</v>
      </c>
      <c r="H75">
        <v>2843.76</v>
      </c>
      <c r="I75">
        <v>3146.6</v>
      </c>
      <c r="J75" t="s">
        <v>30</v>
      </c>
      <c r="K75">
        <v>0.08</v>
      </c>
      <c r="L75" t="s">
        <v>18</v>
      </c>
      <c r="M75" t="s">
        <v>22</v>
      </c>
      <c r="N75" t="s">
        <v>20</v>
      </c>
    </row>
    <row r="76" spans="1:14" x14ac:dyDescent="0.35">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5">
      <c r="A77">
        <v>1004</v>
      </c>
      <c r="B77" s="1">
        <v>45104</v>
      </c>
      <c r="C77" t="s">
        <v>42</v>
      </c>
      <c r="D77" t="s">
        <v>21</v>
      </c>
      <c r="E77">
        <v>7825.72</v>
      </c>
      <c r="F77">
        <v>2</v>
      </c>
      <c r="G77" t="s">
        <v>35</v>
      </c>
      <c r="H77">
        <v>2953.23</v>
      </c>
      <c r="I77">
        <v>2977.52</v>
      </c>
      <c r="J77" t="s">
        <v>17</v>
      </c>
      <c r="K77">
        <v>0.11</v>
      </c>
      <c r="L77" t="s">
        <v>31</v>
      </c>
      <c r="M77" t="s">
        <v>22</v>
      </c>
      <c r="N77" t="s">
        <v>51</v>
      </c>
    </row>
    <row r="78" spans="1:14" x14ac:dyDescent="0.35">
      <c r="A78">
        <v>1054</v>
      </c>
      <c r="B78" s="1">
        <v>44936</v>
      </c>
      <c r="C78" t="s">
        <v>38</v>
      </c>
      <c r="D78" t="s">
        <v>25</v>
      </c>
      <c r="E78">
        <v>4634.16</v>
      </c>
      <c r="F78">
        <v>40</v>
      </c>
      <c r="G78" t="s">
        <v>16</v>
      </c>
      <c r="H78">
        <v>2654.11</v>
      </c>
      <c r="I78">
        <v>2929.32</v>
      </c>
      <c r="J78" t="s">
        <v>17</v>
      </c>
      <c r="K78">
        <v>0.08</v>
      </c>
      <c r="L78" t="s">
        <v>18</v>
      </c>
      <c r="M78" t="s">
        <v>19</v>
      </c>
      <c r="N78" t="s">
        <v>39</v>
      </c>
    </row>
    <row r="79" spans="1:14" x14ac:dyDescent="0.35">
      <c r="A79">
        <v>1093</v>
      </c>
      <c r="B79" s="1">
        <v>45187</v>
      </c>
      <c r="C79" t="s">
        <v>24</v>
      </c>
      <c r="D79" t="s">
        <v>21</v>
      </c>
      <c r="E79">
        <v>4040.25</v>
      </c>
      <c r="F79">
        <v>19</v>
      </c>
      <c r="G79" t="s">
        <v>35</v>
      </c>
      <c r="H79">
        <v>3808.59</v>
      </c>
      <c r="I79">
        <v>3844.51</v>
      </c>
      <c r="J79" t="s">
        <v>30</v>
      </c>
      <c r="K79">
        <v>0.21</v>
      </c>
      <c r="L79" t="s">
        <v>31</v>
      </c>
      <c r="M79" t="s">
        <v>19</v>
      </c>
      <c r="N79" t="s">
        <v>47</v>
      </c>
    </row>
    <row r="80" spans="1:14" x14ac:dyDescent="0.35">
      <c r="A80">
        <v>1063</v>
      </c>
      <c r="B80" s="1">
        <v>45064</v>
      </c>
      <c r="C80" t="s">
        <v>14</v>
      </c>
      <c r="D80" t="s">
        <v>21</v>
      </c>
      <c r="E80">
        <v>3098.87</v>
      </c>
      <c r="F80">
        <v>39</v>
      </c>
      <c r="G80" t="s">
        <v>26</v>
      </c>
      <c r="H80">
        <v>3577.69</v>
      </c>
      <c r="I80">
        <v>3931.25</v>
      </c>
      <c r="J80" t="s">
        <v>17</v>
      </c>
      <c r="K80">
        <v>0.21</v>
      </c>
      <c r="L80" t="s">
        <v>18</v>
      </c>
      <c r="M80" t="s">
        <v>22</v>
      </c>
      <c r="N80" t="s">
        <v>23</v>
      </c>
    </row>
    <row r="81" spans="1:14" x14ac:dyDescent="0.35">
      <c r="A81">
        <v>1018</v>
      </c>
      <c r="B81" s="1">
        <v>45098</v>
      </c>
      <c r="C81" t="s">
        <v>38</v>
      </c>
      <c r="D81" t="s">
        <v>15</v>
      </c>
      <c r="E81">
        <v>750.38</v>
      </c>
      <c r="F81">
        <v>28</v>
      </c>
      <c r="G81" t="s">
        <v>29</v>
      </c>
      <c r="H81">
        <v>1006.14</v>
      </c>
      <c r="I81">
        <v>1043.45</v>
      </c>
      <c r="J81" t="s">
        <v>30</v>
      </c>
      <c r="K81">
        <v>0.15</v>
      </c>
      <c r="L81" t="s">
        <v>27</v>
      </c>
      <c r="M81" t="s">
        <v>22</v>
      </c>
      <c r="N81" t="s">
        <v>40</v>
      </c>
    </row>
    <row r="82" spans="1:14" x14ac:dyDescent="0.35">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5">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5">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5">
      <c r="A85">
        <v>1074</v>
      </c>
      <c r="B85" s="1">
        <v>45010</v>
      </c>
      <c r="C85" t="s">
        <v>38</v>
      </c>
      <c r="D85" t="s">
        <v>21</v>
      </c>
      <c r="E85">
        <v>7499.7</v>
      </c>
      <c r="F85">
        <v>38</v>
      </c>
      <c r="G85" t="s">
        <v>26</v>
      </c>
      <c r="H85">
        <v>2610.6</v>
      </c>
      <c r="I85">
        <v>2836.94</v>
      </c>
      <c r="J85" t="s">
        <v>17</v>
      </c>
      <c r="K85">
        <v>0.19</v>
      </c>
      <c r="L85" t="s">
        <v>31</v>
      </c>
      <c r="M85" t="s">
        <v>19</v>
      </c>
      <c r="N85" t="s">
        <v>41</v>
      </c>
    </row>
    <row r="86" spans="1:14" x14ac:dyDescent="0.35">
      <c r="A86">
        <v>1062</v>
      </c>
      <c r="B86" s="1">
        <v>45247</v>
      </c>
      <c r="C86" t="s">
        <v>33</v>
      </c>
      <c r="D86" t="s">
        <v>15</v>
      </c>
      <c r="E86">
        <v>4790.72</v>
      </c>
      <c r="F86">
        <v>28</v>
      </c>
      <c r="G86" t="s">
        <v>29</v>
      </c>
      <c r="H86">
        <v>2094.88</v>
      </c>
      <c r="I86">
        <v>2168.91</v>
      </c>
      <c r="J86" t="s">
        <v>17</v>
      </c>
      <c r="K86">
        <v>0.08</v>
      </c>
      <c r="L86" t="s">
        <v>18</v>
      </c>
      <c r="M86" t="s">
        <v>22</v>
      </c>
      <c r="N86" t="s">
        <v>53</v>
      </c>
    </row>
    <row r="87" spans="1:14" x14ac:dyDescent="0.35">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5">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5">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5">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5">
      <c r="A91">
        <v>1015</v>
      </c>
      <c r="B91" s="1">
        <v>45191</v>
      </c>
      <c r="C91" t="s">
        <v>24</v>
      </c>
      <c r="D91" t="s">
        <v>25</v>
      </c>
      <c r="E91">
        <v>9914.15</v>
      </c>
      <c r="F91">
        <v>22</v>
      </c>
      <c r="G91" t="s">
        <v>35</v>
      </c>
      <c r="H91">
        <v>4275.59</v>
      </c>
      <c r="I91">
        <v>4576.72</v>
      </c>
      <c r="J91" t="s">
        <v>17</v>
      </c>
      <c r="K91">
        <v>0.02</v>
      </c>
      <c r="L91" t="s">
        <v>18</v>
      </c>
      <c r="M91" t="s">
        <v>22</v>
      </c>
      <c r="N91" t="s">
        <v>28</v>
      </c>
    </row>
    <row r="92" spans="1:14" x14ac:dyDescent="0.35">
      <c r="A92">
        <v>1072</v>
      </c>
      <c r="B92" s="1">
        <v>44964</v>
      </c>
      <c r="C92" t="s">
        <v>14</v>
      </c>
      <c r="D92" t="s">
        <v>34</v>
      </c>
      <c r="E92">
        <v>5490.38</v>
      </c>
      <c r="F92">
        <v>26</v>
      </c>
      <c r="G92" t="s">
        <v>26</v>
      </c>
      <c r="H92">
        <v>3640.17</v>
      </c>
      <c r="I92">
        <v>4002.63</v>
      </c>
      <c r="J92" t="s">
        <v>30</v>
      </c>
      <c r="K92">
        <v>0.05</v>
      </c>
      <c r="L92" t="s">
        <v>31</v>
      </c>
      <c r="M92" t="s">
        <v>22</v>
      </c>
      <c r="N92" t="s">
        <v>46</v>
      </c>
    </row>
    <row r="93" spans="1:14" x14ac:dyDescent="0.35">
      <c r="A93">
        <v>1078</v>
      </c>
      <c r="B93" s="1">
        <v>45020</v>
      </c>
      <c r="C93" t="s">
        <v>24</v>
      </c>
      <c r="D93" t="s">
        <v>34</v>
      </c>
      <c r="E93">
        <v>9631.41</v>
      </c>
      <c r="F93">
        <v>49</v>
      </c>
      <c r="G93" t="s">
        <v>16</v>
      </c>
      <c r="H93">
        <v>1833.95</v>
      </c>
      <c r="I93">
        <v>2147.14</v>
      </c>
      <c r="J93" t="s">
        <v>17</v>
      </c>
      <c r="K93">
        <v>0.18</v>
      </c>
      <c r="L93" t="s">
        <v>31</v>
      </c>
      <c r="M93" t="s">
        <v>22</v>
      </c>
      <c r="N93" t="s">
        <v>50</v>
      </c>
    </row>
    <row r="94" spans="1:14" x14ac:dyDescent="0.35">
      <c r="A94">
        <v>1087</v>
      </c>
      <c r="B94" s="1">
        <v>45021</v>
      </c>
      <c r="C94" t="s">
        <v>38</v>
      </c>
      <c r="D94" t="s">
        <v>34</v>
      </c>
      <c r="E94">
        <v>848.49</v>
      </c>
      <c r="F94">
        <v>43</v>
      </c>
      <c r="G94" t="s">
        <v>16</v>
      </c>
      <c r="H94">
        <v>481</v>
      </c>
      <c r="I94">
        <v>531.02</v>
      </c>
      <c r="J94" t="s">
        <v>30</v>
      </c>
      <c r="K94">
        <v>0.17</v>
      </c>
      <c r="L94" t="s">
        <v>18</v>
      </c>
      <c r="M94" t="s">
        <v>19</v>
      </c>
      <c r="N94" t="s">
        <v>48</v>
      </c>
    </row>
    <row r="95" spans="1:14" x14ac:dyDescent="0.35">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5">
      <c r="A96">
        <v>1040</v>
      </c>
      <c r="B96" s="1">
        <v>44995</v>
      </c>
      <c r="C96" t="s">
        <v>33</v>
      </c>
      <c r="D96" t="s">
        <v>34</v>
      </c>
      <c r="E96">
        <v>2331.27</v>
      </c>
      <c r="F96">
        <v>13</v>
      </c>
      <c r="G96" t="s">
        <v>29</v>
      </c>
      <c r="H96">
        <v>2750.18</v>
      </c>
      <c r="I96">
        <v>2882.85</v>
      </c>
      <c r="J96" t="s">
        <v>17</v>
      </c>
      <c r="K96">
        <v>0.24</v>
      </c>
      <c r="L96" t="s">
        <v>31</v>
      </c>
      <c r="M96" t="s">
        <v>19</v>
      </c>
      <c r="N96" t="s">
        <v>36</v>
      </c>
    </row>
    <row r="97" spans="1:14" x14ac:dyDescent="0.35">
      <c r="A97">
        <v>1085</v>
      </c>
      <c r="B97" s="1">
        <v>45244</v>
      </c>
      <c r="C97" t="s">
        <v>33</v>
      </c>
      <c r="D97" t="s">
        <v>25</v>
      </c>
      <c r="E97">
        <v>2038.75</v>
      </c>
      <c r="F97">
        <v>32</v>
      </c>
      <c r="G97" t="s">
        <v>16</v>
      </c>
      <c r="H97">
        <v>1074.93</v>
      </c>
      <c r="I97">
        <v>1492.48</v>
      </c>
      <c r="J97" t="s">
        <v>17</v>
      </c>
      <c r="K97">
        <v>0.04</v>
      </c>
      <c r="L97" t="s">
        <v>31</v>
      </c>
      <c r="M97" t="s">
        <v>22</v>
      </c>
      <c r="N97" t="s">
        <v>44</v>
      </c>
    </row>
    <row r="98" spans="1:14" x14ac:dyDescent="0.35">
      <c r="A98">
        <v>1080</v>
      </c>
      <c r="B98" s="1">
        <v>45162</v>
      </c>
      <c r="C98" t="s">
        <v>14</v>
      </c>
      <c r="D98" t="s">
        <v>21</v>
      </c>
      <c r="E98">
        <v>1493.95</v>
      </c>
      <c r="F98">
        <v>17</v>
      </c>
      <c r="G98" t="s">
        <v>16</v>
      </c>
      <c r="H98">
        <v>2742.67</v>
      </c>
      <c r="I98">
        <v>2979.64</v>
      </c>
      <c r="J98" t="s">
        <v>17</v>
      </c>
      <c r="K98">
        <v>0.01</v>
      </c>
      <c r="L98" t="s">
        <v>18</v>
      </c>
      <c r="M98" t="s">
        <v>22</v>
      </c>
      <c r="N98" t="s">
        <v>23</v>
      </c>
    </row>
    <row r="99" spans="1:14" x14ac:dyDescent="0.35">
      <c r="A99">
        <v>1082</v>
      </c>
      <c r="B99" s="1">
        <v>45260</v>
      </c>
      <c r="C99" t="s">
        <v>42</v>
      </c>
      <c r="D99" t="s">
        <v>25</v>
      </c>
      <c r="E99">
        <v>6261.9</v>
      </c>
      <c r="F99">
        <v>41</v>
      </c>
      <c r="G99" t="s">
        <v>35</v>
      </c>
      <c r="H99">
        <v>1196.42</v>
      </c>
      <c r="I99">
        <v>1444.97</v>
      </c>
      <c r="J99" t="s">
        <v>17</v>
      </c>
      <c r="K99">
        <v>0.21</v>
      </c>
      <c r="L99" t="s">
        <v>27</v>
      </c>
      <c r="M99" t="s">
        <v>19</v>
      </c>
      <c r="N99" t="s">
        <v>43</v>
      </c>
    </row>
    <row r="100" spans="1:14" x14ac:dyDescent="0.35">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5">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5">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5">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5">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5">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5">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5">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5">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5">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5">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5">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5">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5">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5">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5">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5">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5">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5">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5">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5">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5">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5">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5">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5">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5">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5">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5">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5">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5">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5">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5">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5">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5">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5">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5">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5">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5">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5">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5">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5">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5">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5">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5">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5">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5">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5">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5">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5">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5">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5">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5">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5">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5">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5">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5">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5">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5">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5">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5">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5">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5">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5">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5">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5">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5">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5">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5">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5">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5">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5">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5">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5">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5">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5">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5">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5">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5">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5">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5">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5">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5">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5">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5">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5">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5">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5">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5">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5">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5">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5">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5">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5">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5">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5">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5">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5">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5">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5">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5">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5">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5">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5">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5">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5">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5">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5">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5">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5">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5">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5">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5">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5">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5">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5">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5">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5">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5">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5">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5">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5">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5">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5">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5">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5">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5">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5">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5">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5">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5">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5">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5">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5">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5">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5">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5">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5">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5">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5">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5">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5">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5">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5">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5">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5">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5">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5">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5">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5">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5">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5">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5">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5">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5">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5">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5">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5">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5">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5">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5">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5">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5">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5">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5">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5">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5">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5">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5">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5">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5">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5">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5">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5">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5">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5">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5">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5">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5">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5">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5">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5">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5">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5">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5">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5">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5">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5">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5">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5">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5">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5">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5">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5">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5">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5">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5">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5">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5">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5">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5">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5">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5">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5">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5">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5">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5">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5">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5">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5">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5">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5">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5">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5">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5">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5">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5">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5">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5">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5">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5">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5">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5">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5">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5">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5">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5">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5">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5">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5">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5">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5">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5">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5">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5">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5">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5">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5">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5">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5">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5">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5">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5">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5">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5">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5">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5">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5">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5">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5">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5">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5">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5">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5">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5">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5">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5">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5">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5">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5">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5">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5">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5">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5">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5">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5">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5">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5">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5">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5">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5">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5">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5">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5">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5">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5">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5">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5">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5">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5">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5">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5">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5">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5">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5">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5">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5">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5">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5">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5">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5">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5">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5">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5">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5">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5">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5">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5">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5">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5">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5">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5">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5">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5">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5">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5">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5">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5">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5">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5">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5">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5">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5">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5">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5">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5">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5">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5">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5">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5">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5">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5">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5">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5">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5">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5">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5">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5">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5">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5">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5">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5">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5">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5">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5">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5">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5">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5">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5">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5">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5">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5">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5">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5">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5">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5">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5">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5">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5">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5">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5">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5">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5">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5">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5">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5">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5">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5">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5">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5">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5">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5">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5">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5">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5">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5">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5">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5">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5">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5">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5">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5">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5">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5">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5">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5">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5">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5">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5">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5">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5">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5">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5">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5">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5">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5">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5">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5">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5">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5">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5">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5">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5">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5">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5">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5">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5">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5">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5">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5">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5">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5">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5">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5">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5">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5">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5">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5">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5">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5">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5">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5">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5">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5">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5">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5">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5">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5">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5">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5">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5">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5">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5">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5">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5">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5">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5">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5">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5">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5">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5">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5">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5">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5">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5">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5">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5">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5">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5">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5">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5">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5">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5">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5">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5">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5">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5">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5">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5">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5">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5">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5">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5">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5">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5">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5">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5">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5">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5">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5">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5">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5">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5">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5">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5">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5">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5">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5">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5">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5">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5">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5">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5">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5">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5">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5">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5">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5">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5">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5">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5">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5">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5">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5">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5">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5">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5">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5">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5">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5">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5">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5">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5">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5">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5">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5">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5">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5">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5">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5">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5">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5">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5">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5">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5">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5">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5">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5">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5">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5">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5">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5">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5">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5">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5">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5">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5">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5">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5">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5">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5">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5">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5">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5">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5">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5">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5">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5">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5">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5">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5">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5">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5">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5">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5">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5">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5">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5">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5">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5">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5">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5">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5">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5">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5">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5">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5">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5">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5">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5">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5">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5">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5">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5">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5">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5">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5">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5">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5">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5">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5">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5">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5">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5">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5">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5">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5">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5">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5">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5">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5">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5">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5">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5">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5">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5">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5">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5">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5">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5">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5">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5">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5">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5">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5">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5">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5">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5">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5">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5">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5">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5">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5">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5">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5">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5">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5">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5">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5">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5">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5">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5">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5">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5">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5">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5">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5">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5">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5">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5">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5">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5">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5">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5">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5">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5">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5">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5">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5">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5">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5">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5">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5">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5">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5">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5">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5">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5">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5">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5">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5">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5">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5">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5">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5">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5">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5">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5">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5">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5">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5">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5">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5">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5">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5">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5">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5">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5">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5">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5">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5">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5">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5">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5">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5">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5">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5">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5">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5">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5">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5">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5">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5">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5">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5">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5">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5">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5">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5">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5">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5">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5">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5">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5">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5">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5">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5">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5">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5">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5">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5">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5">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5">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5">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5">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5">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5">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5">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5">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5">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5">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5">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5">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5">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5">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5">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5">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5">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5">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5">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5">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5">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5">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5">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5">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5">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5">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5">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5">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5">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5">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5">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5">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5">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5">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5">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5">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5">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5">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5">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5">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5">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5">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5">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5">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5">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5">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5">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5">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5">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5">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5">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5">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5">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5">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5">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5">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5">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5">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5">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5">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5">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5">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5">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5">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5">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5">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5">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5">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5">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5">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5">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5">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5">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5">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5">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5">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5">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5">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5">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5">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5">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5">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5">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5">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5">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5">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5">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5">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5">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5">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5">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5">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5">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5">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5">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5">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5">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5">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5">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5">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5">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5">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5">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5">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5">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5">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5">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5">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5">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5">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5">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5">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5">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5">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5">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5">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5">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5">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5">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5">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5">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5">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5">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5">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5">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5">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5">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5">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5">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5">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5">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5">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5">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5">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5">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5">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5">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5">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5">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5">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5">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5">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5">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5">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5">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5">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5">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5">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5">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5">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5">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5">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5">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5">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5">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5">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5">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5">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5">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5">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5">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5">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5">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5">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5">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5">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5">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5">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5">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5">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5">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5">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5">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5">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5">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5">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5">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5">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5">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5">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5">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5">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5">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5">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5">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5">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5">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5">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5">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5">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5">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5">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5">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5">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5">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5">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5">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5">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5">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5">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5">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5">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5">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5">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5">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5">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5">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5">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5">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5">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5">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5">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5">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5">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5">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5">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5">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5">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5">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5">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5">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5">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Pivot_Category</vt:lpstr>
      <vt:lpstr>Pivot_Trends</vt:lpstr>
      <vt:lpstr>Pivot_Regionals</vt:lpstr>
      <vt:lpstr>DASHBOARD</vt:lpstr>
      <vt:lpstr>Cleaned_Data</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nancy irungu</cp:lastModifiedBy>
  <dcterms:created xsi:type="dcterms:W3CDTF">2026-01-12T10:10:24Z</dcterms:created>
  <dcterms:modified xsi:type="dcterms:W3CDTF">2026-01-31T03:11:42Z</dcterms:modified>
</cp:coreProperties>
</file>
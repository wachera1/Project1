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inistrator\Documents\Projects Excel\"/>
    </mc:Choice>
  </mc:AlternateContent>
  <xr:revisionPtr revIDLastSave="0" documentId="8_{C68D5E6C-13B3-4E0C-9BBC-55D9E85E3245}" xr6:coauthVersionLast="47" xr6:coauthVersionMax="47" xr10:uidLastSave="{00000000-0000-0000-0000-000000000000}"/>
  <bookViews>
    <workbookView xWindow="-110" yWindow="-110" windowWidth="19420" windowHeight="10300" activeTab="2" xr2:uid="{96FA3987-1BD8-48B7-AF93-FE2C26F5DC35}"/>
  </bookViews>
  <sheets>
    <sheet name="Pivots" sheetId="11" r:id="rId1"/>
    <sheet name="Sheet1" sheetId="1" r:id="rId2"/>
    <sheet name="Dashboard" sheetId="9" r:id="rId3"/>
  </sheets>
  <definedNames>
    <definedName name="Slicer_Gender">#N/A</definedName>
  </definedNames>
  <calcPr calcId="191029"/>
  <pivotCaches>
    <pivotCache cacheId="1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4" i="11" l="1"/>
  <c r="F4" i="11"/>
  <c r="G4" i="11"/>
  <c r="C30" i="1"/>
  <c r="F30" i="1"/>
  <c r="L2" i="1"/>
  <c r="L3" i="1"/>
  <c r="L4" i="1"/>
  <c r="L5" i="1"/>
  <c r="L6" i="1"/>
  <c r="L7" i="1"/>
  <c r="L8" i="1"/>
  <c r="L9" i="1"/>
  <c r="L10" i="1"/>
  <c r="L11" i="1"/>
  <c r="L12" i="1"/>
  <c r="L13" i="1"/>
  <c r="L14" i="1"/>
  <c r="L15" i="1"/>
  <c r="L16" i="1"/>
  <c r="L17" i="1"/>
  <c r="L18" i="1"/>
  <c r="L19" i="1"/>
  <c r="L20" i="1"/>
  <c r="L21" i="1"/>
  <c r="L22" i="1"/>
  <c r="L23" i="1"/>
  <c r="L24" i="1"/>
  <c r="L25" i="1"/>
  <c r="L26" i="1"/>
  <c r="L27" i="1"/>
  <c r="L28" i="1"/>
  <c r="L29" i="1"/>
  <c r="C3" i="1"/>
  <c r="C4" i="1"/>
  <c r="C5" i="1"/>
  <c r="C6" i="1"/>
  <c r="C7" i="1"/>
  <c r="C8" i="1"/>
  <c r="C9" i="1"/>
  <c r="C10" i="1"/>
  <c r="C11" i="1"/>
  <c r="C12" i="1"/>
  <c r="C13" i="1"/>
  <c r="C14" i="1"/>
  <c r="C15" i="1"/>
  <c r="C16" i="1"/>
  <c r="C17" i="1"/>
  <c r="C18" i="1"/>
  <c r="C19" i="1"/>
  <c r="C20" i="1"/>
  <c r="C21" i="1"/>
  <c r="C22" i="1"/>
  <c r="C23" i="1"/>
  <c r="C24" i="1"/>
  <c r="C25" i="1"/>
  <c r="C26" i="1"/>
  <c r="C27" i="1"/>
  <c r="C28" i="1"/>
  <c r="C29" i="1"/>
  <c r="C2" i="1"/>
  <c r="J2" i="1"/>
  <c r="K2" i="1" s="1"/>
  <c r="J3" i="1"/>
  <c r="K3" i="1" s="1"/>
  <c r="J4" i="1"/>
  <c r="K4" i="1" s="1"/>
  <c r="J5" i="1"/>
  <c r="K5" i="1" s="1"/>
  <c r="J6" i="1"/>
  <c r="K6" i="1" s="1"/>
  <c r="J7" i="1"/>
  <c r="K7" i="1" s="1"/>
  <c r="J8" i="1"/>
  <c r="K8" i="1" s="1"/>
  <c r="J9" i="1"/>
  <c r="K9" i="1" s="1"/>
  <c r="J10" i="1"/>
  <c r="K10" i="1" s="1"/>
  <c r="J11" i="1"/>
  <c r="K11" i="1" s="1"/>
  <c r="J12" i="1"/>
  <c r="K12" i="1" s="1"/>
  <c r="J13" i="1"/>
  <c r="K13" i="1" s="1"/>
  <c r="J14" i="1"/>
  <c r="K14" i="1" s="1"/>
  <c r="J15" i="1"/>
  <c r="K15" i="1" s="1"/>
  <c r="J16" i="1"/>
  <c r="K16" i="1" s="1"/>
  <c r="J17" i="1"/>
  <c r="K17" i="1" s="1"/>
  <c r="J18" i="1"/>
  <c r="K18" i="1" s="1"/>
  <c r="J19" i="1"/>
  <c r="K19" i="1" s="1"/>
  <c r="J20" i="1"/>
  <c r="K20" i="1" s="1"/>
  <c r="J21" i="1"/>
  <c r="K21" i="1" s="1"/>
  <c r="J22" i="1"/>
  <c r="K22" i="1" s="1"/>
  <c r="J23" i="1"/>
  <c r="K23" i="1" s="1"/>
  <c r="J24" i="1"/>
  <c r="K24" i="1" s="1"/>
  <c r="J25" i="1"/>
  <c r="K25" i="1" s="1"/>
  <c r="J26" i="1"/>
  <c r="K26" i="1" s="1"/>
  <c r="J27" i="1"/>
  <c r="K27" i="1" s="1"/>
  <c r="J28" i="1"/>
  <c r="K28" i="1" s="1"/>
  <c r="J29" i="1"/>
  <c r="K29" i="1" s="1"/>
  <c r="F31" i="1"/>
  <c r="J30" i="1" l="1"/>
  <c r="K30" i="1" s="1"/>
  <c r="J31" i="1"/>
</calcChain>
</file>

<file path=xl/sharedStrings.xml><?xml version="1.0" encoding="utf-8"?>
<sst xmlns="http://schemas.openxmlformats.org/spreadsheetml/2006/main" count="177" uniqueCount="110">
  <si>
    <t>FirstName</t>
  </si>
  <si>
    <t>SurName</t>
  </si>
  <si>
    <t>Gender</t>
  </si>
  <si>
    <t>Department</t>
  </si>
  <si>
    <t>Amount Sold</t>
  </si>
  <si>
    <t>Date Sold</t>
  </si>
  <si>
    <t>Customer ID</t>
  </si>
  <si>
    <t>Albert</t>
  </si>
  <si>
    <t>Peterson</t>
  </si>
  <si>
    <t>Male</t>
  </si>
  <si>
    <t>Babies</t>
  </si>
  <si>
    <t>100A</t>
  </si>
  <si>
    <t>Prince</t>
  </si>
  <si>
    <t>jaden</t>
  </si>
  <si>
    <t>Fruits and Veggies</t>
  </si>
  <si>
    <t>101b</t>
  </si>
  <si>
    <t>Green</t>
  </si>
  <si>
    <t>Nathan</t>
  </si>
  <si>
    <t>Pasteries</t>
  </si>
  <si>
    <t>102c</t>
  </si>
  <si>
    <t>philo</t>
  </si>
  <si>
    <t>White</t>
  </si>
  <si>
    <t>Female</t>
  </si>
  <si>
    <t>Fashion</t>
  </si>
  <si>
    <t>103d</t>
  </si>
  <si>
    <t>John</t>
  </si>
  <si>
    <t>Brown</t>
  </si>
  <si>
    <t>104w</t>
  </si>
  <si>
    <t>Josphine</t>
  </si>
  <si>
    <t>Trunk</t>
  </si>
  <si>
    <t>105F</t>
  </si>
  <si>
    <t>Carol</t>
  </si>
  <si>
    <t>Jordan</t>
  </si>
  <si>
    <t>106Y</t>
  </si>
  <si>
    <t>Stephnie</t>
  </si>
  <si>
    <t>Johnson</t>
  </si>
  <si>
    <t>107T</t>
  </si>
  <si>
    <t>Craig</t>
  </si>
  <si>
    <t>Lambert</t>
  </si>
  <si>
    <t>Shoes</t>
  </si>
  <si>
    <t>108p</t>
  </si>
  <si>
    <t>Ginika</t>
  </si>
  <si>
    <t>Nzleu</t>
  </si>
  <si>
    <t>109Y</t>
  </si>
  <si>
    <t>Chidinma</t>
  </si>
  <si>
    <t>nzelu</t>
  </si>
  <si>
    <t>110U</t>
  </si>
  <si>
    <t>Joseph</t>
  </si>
  <si>
    <t>Obi</t>
  </si>
  <si>
    <t>Food Stuff</t>
  </si>
  <si>
    <t>111K</t>
  </si>
  <si>
    <t>Chike</t>
  </si>
  <si>
    <t>112l</t>
  </si>
  <si>
    <t>Joshua</t>
  </si>
  <si>
    <t>Peter</t>
  </si>
  <si>
    <t>113G</t>
  </si>
  <si>
    <t>mary</t>
  </si>
  <si>
    <t>Chukwudi</t>
  </si>
  <si>
    <t>114M</t>
  </si>
  <si>
    <t>Mathew</t>
  </si>
  <si>
    <t>Phillip</t>
  </si>
  <si>
    <t>115C</t>
  </si>
  <si>
    <t>Mayjane</t>
  </si>
  <si>
    <t>Kamen</t>
  </si>
  <si>
    <t>116X</t>
  </si>
  <si>
    <t>Chijioke</t>
  </si>
  <si>
    <t>john</t>
  </si>
  <si>
    <t>117H</t>
  </si>
  <si>
    <t>Oluebube</t>
  </si>
  <si>
    <t>118S</t>
  </si>
  <si>
    <t>Solomon</t>
  </si>
  <si>
    <t>Chukwuma</t>
  </si>
  <si>
    <t>119V</t>
  </si>
  <si>
    <t>chioma</t>
  </si>
  <si>
    <t>Chukwuka</t>
  </si>
  <si>
    <t>120Q</t>
  </si>
  <si>
    <t>Chika</t>
  </si>
  <si>
    <t>Mark</t>
  </si>
  <si>
    <t>121E</t>
  </si>
  <si>
    <t>Ujunwa</t>
  </si>
  <si>
    <t>Obidike</t>
  </si>
  <si>
    <t>122K</t>
  </si>
  <si>
    <t>Kamsi</t>
  </si>
  <si>
    <t>Emeka</t>
  </si>
  <si>
    <t>123P</t>
  </si>
  <si>
    <t>nafisat</t>
  </si>
  <si>
    <t>124H</t>
  </si>
  <si>
    <t>Tochukwu</t>
  </si>
  <si>
    <t>Emenike</t>
  </si>
  <si>
    <t>125E</t>
  </si>
  <si>
    <t>Chinaza</t>
  </si>
  <si>
    <t>Chima</t>
  </si>
  <si>
    <t>126Q</t>
  </si>
  <si>
    <t>Frank</t>
  </si>
  <si>
    <t>127I</t>
  </si>
  <si>
    <t>Quantity Sold</t>
  </si>
  <si>
    <t>Total_Sales</t>
  </si>
  <si>
    <t>Sales_Category</t>
  </si>
  <si>
    <t>Full_Name</t>
  </si>
  <si>
    <t>Cleaned_Amount sold</t>
  </si>
  <si>
    <t>Row Labels</t>
  </si>
  <si>
    <t>Grand Total</t>
  </si>
  <si>
    <t>Sum of Cleaned_Amount sold</t>
  </si>
  <si>
    <t>Average of Quantity Sold</t>
  </si>
  <si>
    <t>2002</t>
  </si>
  <si>
    <t>2003</t>
  </si>
  <si>
    <t>2005</t>
  </si>
  <si>
    <t>2024</t>
  </si>
  <si>
    <t>Total Amount</t>
  </si>
  <si>
    <t>Average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</si>
</sst>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dd/mm/yyyy;@"/>
  </numFmts>
  <fonts count="4">
    <font>
      <sz val="11"/>
      <color theme="1"/>
      <name val="Calibri"/>
      <family val="2"/>
      <scheme val="minor"/>
    </font>
    <font>
      <sz val="11"/>
      <color theme="1"/>
      <name val="Calibri"/>
      <family val="2"/>
      <scheme val="minor"/>
    </font>
    <font>
      <b/>
      <sz val="11"/>
      <color theme="1"/>
      <name val="Calibri"/>
      <family val="2"/>
      <scheme val="minor"/>
    </font>
    <font>
      <sz val="11"/>
      <color theme="1"/>
      <name val="Calibri"/>
      <charset val="134"/>
      <scheme val="minor"/>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0" fontId="3" fillId="0" borderId="0">
      <alignment vertical="center"/>
    </xf>
  </cellStyleXfs>
  <cellXfs count="20">
    <xf numFmtId="0" fontId="0" fillId="0" borderId="0" xfId="0"/>
    <xf numFmtId="0" fontId="2" fillId="0" borderId="0" xfId="0" applyFont="1" applyAlignment="1">
      <alignment horizontal="left"/>
    </xf>
    <xf numFmtId="0" fontId="2" fillId="0" borderId="0" xfId="0" applyFont="1" applyAlignment="1">
      <alignment horizontal="right"/>
    </xf>
    <xf numFmtId="164" fontId="2" fillId="0" borderId="0" xfId="0" applyNumberFormat="1" applyFont="1" applyAlignment="1">
      <alignment horizontal="right"/>
    </xf>
    <xf numFmtId="0" fontId="2" fillId="0" borderId="0" xfId="0" applyFont="1"/>
    <xf numFmtId="0" fontId="0" fillId="0" borderId="0" xfId="0" applyAlignment="1">
      <alignment horizontal="left"/>
    </xf>
    <xf numFmtId="0" fontId="0" fillId="0" borderId="0" xfId="0" applyAlignment="1">
      <alignment horizontal="right"/>
    </xf>
    <xf numFmtId="164" fontId="0" fillId="0" borderId="0" xfId="0" applyNumberFormat="1" applyAlignment="1">
      <alignment horizontal="right"/>
    </xf>
    <xf numFmtId="14" fontId="0" fillId="0" borderId="0" xfId="0" applyNumberFormat="1" applyAlignment="1">
      <alignment horizontal="right"/>
    </xf>
    <xf numFmtId="164" fontId="0" fillId="0" borderId="0" xfId="0" applyNumberFormat="1"/>
    <xf numFmtId="0" fontId="3" fillId="0" borderId="0" xfId="2" applyAlignment="1">
      <alignment horizontal="left" vertical="center"/>
    </xf>
    <xf numFmtId="0" fontId="3" fillId="0" borderId="0" xfId="2" applyAlignment="1">
      <alignment horizontal="right" vertical="center"/>
    </xf>
    <xf numFmtId="164" fontId="3" fillId="0" borderId="0" xfId="2" applyNumberFormat="1" applyAlignment="1">
      <alignment horizontal="right" vertical="top"/>
    </xf>
    <xf numFmtId="165" fontId="3" fillId="0" borderId="0" xfId="2" applyNumberFormat="1" applyAlignment="1">
      <alignment horizontal="right" vertical="center"/>
    </xf>
    <xf numFmtId="0" fontId="0" fillId="0" borderId="0" xfId="2" applyFont="1" applyAlignment="1">
      <alignment horizontal="left" vertical="center"/>
    </xf>
    <xf numFmtId="2" fontId="0" fillId="0" borderId="0" xfId="0" applyNumberFormat="1"/>
    <xf numFmtId="1" fontId="0" fillId="0" borderId="0" xfId="0" applyNumberFormat="1"/>
    <xf numFmtId="164" fontId="2" fillId="0" borderId="0" xfId="1" applyNumberFormat="1" applyFont="1"/>
    <xf numFmtId="164" fontId="0" fillId="0" borderId="0" xfId="1" applyNumberFormat="1" applyFont="1"/>
    <xf numFmtId="0" fontId="0" fillId="0" borderId="0" xfId="0" pivotButton="1"/>
  </cellXfs>
  <cellStyles count="3">
    <cellStyle name="Currency" xfId="1" builtinId="4"/>
    <cellStyle name="Normal" xfId="0" builtinId="0"/>
    <cellStyle name="Normal 2" xfId="2" xr:uid="{6DF4ED10-E467-41D9-BE6A-48B7370EF607}"/>
  </cellStyles>
  <dxfs count="26">
    <dxf>
      <numFmt numFmtId="164" formatCode="&quot;$&quot;#,##0.00"/>
    </dxf>
    <dxf>
      <numFmt numFmtId="2" formatCode="0.00"/>
    </dxf>
    <dxf>
      <numFmt numFmtId="164" formatCode="&quot;$&quot;#,##0.00"/>
    </dxf>
    <dxf>
      <numFmt numFmtId="164" formatCode="&quot;$&quot;#,##0.00"/>
    </dxf>
    <dxf>
      <numFmt numFmtId="164" formatCode="&quot;$&quot;#,##0.00"/>
    </dxf>
    <dxf>
      <numFmt numFmtId="2" formatCode="0.00"/>
    </dxf>
    <dxf>
      <numFmt numFmtId="164" formatCode="&quot;$&quot;#,##0.00"/>
    </dxf>
    <dxf>
      <numFmt numFmtId="2" formatCode="0.00"/>
    </dxf>
    <dxf>
      <numFmt numFmtId="164" formatCode="&quot;$&quot;#,##0.00"/>
    </dxf>
    <dxf>
      <numFmt numFmtId="164" formatCode="&quot;$&quot;#,##0.00"/>
    </dxf>
    <dxf>
      <numFmt numFmtId="164" formatCode="&quot;$&quot;#,##0.00"/>
    </dxf>
    <dxf>
      <numFmt numFmtId="2" formatCode="0.00"/>
    </dxf>
    <dxf>
      <numFmt numFmtId="164" formatCode="&quot;$&quot;#,##0.00"/>
    </dxf>
    <dxf>
      <numFmt numFmtId="2" formatCode="0.00"/>
    </dxf>
    <dxf>
      <numFmt numFmtId="164" formatCode="&quot;$&quot;#,##0.00"/>
    </dxf>
    <dxf>
      <numFmt numFmtId="164" formatCode="&quot;$&quot;#,##0.00"/>
    </dxf>
    <dxf>
      <numFmt numFmtId="2" formatCode="0.00"/>
    </dxf>
    <dxf>
      <numFmt numFmtId="164" formatCode="&quot;$&quot;#,##0.00"/>
    </dxf>
    <dxf>
      <fill>
        <patternFill>
          <bgColor theme="5" tint="-0.24994659260841701"/>
        </patternFill>
      </fill>
    </dxf>
    <dxf>
      <fill>
        <patternFill>
          <bgColor theme="5" tint="0.59996337778862885"/>
        </patternFill>
      </fill>
    </dxf>
    <dxf>
      <fill>
        <patternFill>
          <bgColor rgb="FF0070C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[Nancy Irungu_Month1_HTT_Excel_Assessment.xlsx]Pivots!pvtSales_Dept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Department</a:t>
            </a:r>
          </a:p>
          <a:p>
            <a:pPr>
              <a:defRPr/>
            </a:pPr>
            <a:endParaRPr lang="en-US"/>
          </a:p>
        </c:rich>
      </c:tx>
      <c:layout>
        <c:manualLayout>
          <c:xMode val="edge"/>
          <c:yMode val="edge"/>
          <c:x val="0.27305555555555561"/>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Pivots!$B$10</c:f>
              <c:strCache>
                <c:ptCount val="1"/>
                <c:pt idx="0">
                  <c:v>Total</c:v>
                </c:pt>
              </c:strCache>
            </c:strRef>
          </c:tx>
          <c:spPr>
            <a:solidFill>
              <a:schemeClr val="accent1"/>
            </a:solidFill>
            <a:ln>
              <a:noFill/>
            </a:ln>
            <a:effectLst/>
          </c:spPr>
          <c:invertIfNegative val="0"/>
          <c:cat>
            <c:strRef>
              <c:f>Pivots!$A$11:$A$17</c:f>
              <c:strCache>
                <c:ptCount val="6"/>
                <c:pt idx="0">
                  <c:v>Babies</c:v>
                </c:pt>
                <c:pt idx="1">
                  <c:v>Fashion</c:v>
                </c:pt>
                <c:pt idx="2">
                  <c:v>Food Stuff</c:v>
                </c:pt>
                <c:pt idx="3">
                  <c:v>Fruits and Veggies</c:v>
                </c:pt>
                <c:pt idx="4">
                  <c:v>Pasteries</c:v>
                </c:pt>
                <c:pt idx="5">
                  <c:v>Shoes</c:v>
                </c:pt>
              </c:strCache>
            </c:strRef>
          </c:cat>
          <c:val>
            <c:numRef>
              <c:f>Pivots!$B$11:$B$17</c:f>
              <c:numCache>
                <c:formatCode>"$"#,##0.00</c:formatCode>
                <c:ptCount val="6"/>
                <c:pt idx="0">
                  <c:v>150000</c:v>
                </c:pt>
                <c:pt idx="1">
                  <c:v>115000</c:v>
                </c:pt>
                <c:pt idx="2">
                  <c:v>155000</c:v>
                </c:pt>
                <c:pt idx="3">
                  <c:v>75000</c:v>
                </c:pt>
                <c:pt idx="4">
                  <c:v>163000</c:v>
                </c:pt>
                <c:pt idx="5">
                  <c:v>580000</c:v>
                </c:pt>
              </c:numCache>
            </c:numRef>
          </c:val>
          <c:extLst>
            <c:ext xmlns:c16="http://schemas.microsoft.com/office/drawing/2014/chart" uri="{C3380CC4-5D6E-409C-BE32-E72D297353CC}">
              <c16:uniqueId val="{00000000-E7E0-4CFF-951B-E75061ACF86B}"/>
            </c:ext>
          </c:extLst>
        </c:ser>
        <c:dLbls>
          <c:showLegendKey val="0"/>
          <c:showVal val="0"/>
          <c:showCatName val="0"/>
          <c:showSerName val="0"/>
          <c:showPercent val="0"/>
          <c:showBubbleSize val="0"/>
        </c:dLbls>
        <c:gapWidth val="219"/>
        <c:overlap val="-27"/>
        <c:axId val="1694812592"/>
        <c:axId val="1696631440"/>
      </c:barChart>
      <c:catAx>
        <c:axId val="1694812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631440"/>
        <c:crosses val="autoZero"/>
        <c:auto val="1"/>
        <c:lblAlgn val="ctr"/>
        <c:lblOffset val="100"/>
        <c:noMultiLvlLbl val="0"/>
      </c:catAx>
      <c:valAx>
        <c:axId val="169663144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4812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[Nancy Irungu_Month1_HTT_Excel_Assessment.xlsx]Pivots!pvtSales_Year</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By Year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Pivots!$A$23:$A$27</c:f>
              <c:strCache>
                <c:ptCount val="4"/>
                <c:pt idx="0">
                  <c:v>2002</c:v>
                </c:pt>
                <c:pt idx="1">
                  <c:v>2003</c:v>
                </c:pt>
                <c:pt idx="2">
                  <c:v>2005</c:v>
                </c:pt>
                <c:pt idx="3">
                  <c:v>2024</c:v>
                </c:pt>
              </c:strCache>
            </c:strRef>
          </c:cat>
          <c:val>
            <c:numRef>
              <c:f>Pivots!$B$23:$B$27</c:f>
              <c:numCache>
                <c:formatCode>"$"#,##0.00</c:formatCode>
                <c:ptCount val="4"/>
                <c:pt idx="0">
                  <c:v>23000</c:v>
                </c:pt>
                <c:pt idx="1">
                  <c:v>250000</c:v>
                </c:pt>
                <c:pt idx="2">
                  <c:v>90000</c:v>
                </c:pt>
                <c:pt idx="3">
                  <c:v>875000</c:v>
                </c:pt>
              </c:numCache>
            </c:numRef>
          </c:val>
          <c:smooth val="0"/>
          <c:extLst>
            <c:ext xmlns:c16="http://schemas.microsoft.com/office/drawing/2014/chart" uri="{C3380CC4-5D6E-409C-BE32-E72D297353CC}">
              <c16:uniqueId val="{00000000-3598-488E-A2F0-5343B6FECA87}"/>
            </c:ext>
          </c:extLst>
        </c:ser>
        <c:dLbls>
          <c:showLegendKey val="0"/>
          <c:showVal val="0"/>
          <c:showCatName val="0"/>
          <c:showSerName val="0"/>
          <c:showPercent val="0"/>
          <c:showBubbleSize val="0"/>
        </c:dLbls>
        <c:marker val="1"/>
        <c:smooth val="0"/>
        <c:axId val="1687995664"/>
        <c:axId val="1687996496"/>
      </c:lineChart>
      <c:catAx>
        <c:axId val="168799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996496"/>
        <c:crosses val="autoZero"/>
        <c:auto val="1"/>
        <c:lblAlgn val="ctr"/>
        <c:lblOffset val="100"/>
        <c:noMultiLvlLbl val="0"/>
      </c:catAx>
      <c:valAx>
        <c:axId val="1687996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995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[Nancy Irungu_Month1_HTT_Excel_Assessment.xlsx]Pivots!pvtSales_Gender</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Pivots!$B$32</c:f>
              <c:strCache>
                <c:ptCount val="1"/>
                <c:pt idx="0">
                  <c:v>Sum of Cleaned_Amount sold</c:v>
                </c:pt>
              </c:strCache>
            </c:strRef>
          </c:tx>
          <c:spPr>
            <a:solidFill>
              <a:schemeClr val="accent1"/>
            </a:solidFill>
            <a:ln>
              <a:noFill/>
            </a:ln>
            <a:effectLst/>
          </c:spPr>
          <c:invertIfNegative val="0"/>
          <c:cat>
            <c:strRef>
              <c:f>Pivots!$A$33:$A$34</c:f>
              <c:strCache>
                <c:ptCount val="1"/>
                <c:pt idx="0">
                  <c:v>Male</c:v>
                </c:pt>
              </c:strCache>
            </c:strRef>
          </c:cat>
          <c:val>
            <c:numRef>
              <c:f>Pivots!$B$33:$B$34</c:f>
              <c:numCache>
                <c:formatCode>"$"#,##0.00</c:formatCode>
                <c:ptCount val="1"/>
                <c:pt idx="0">
                  <c:v>1238000</c:v>
                </c:pt>
              </c:numCache>
            </c:numRef>
          </c:val>
          <c:extLst>
            <c:ext xmlns:c16="http://schemas.microsoft.com/office/drawing/2014/chart" uri="{C3380CC4-5D6E-409C-BE32-E72D297353CC}">
              <c16:uniqueId val="{00000000-28A3-49EF-B808-998A2C331236}"/>
            </c:ext>
          </c:extLst>
        </c:ser>
        <c:ser>
          <c:idx val="1"/>
          <c:order val="1"/>
          <c:tx>
            <c:strRef>
              <c:f>Pivots!$C$32</c:f>
              <c:strCache>
                <c:ptCount val="1"/>
                <c:pt idx="0">
                  <c:v>Average of Quantity Sold</c:v>
                </c:pt>
              </c:strCache>
            </c:strRef>
          </c:tx>
          <c:spPr>
            <a:solidFill>
              <a:schemeClr val="accent2"/>
            </a:solidFill>
            <a:ln>
              <a:noFill/>
            </a:ln>
            <a:effectLst/>
          </c:spPr>
          <c:invertIfNegative val="0"/>
          <c:cat>
            <c:strRef>
              <c:f>Pivots!$A$33:$A$34</c:f>
              <c:strCache>
                <c:ptCount val="1"/>
                <c:pt idx="0">
                  <c:v>Male</c:v>
                </c:pt>
              </c:strCache>
            </c:strRef>
          </c:cat>
          <c:val>
            <c:numRef>
              <c:f>Pivots!$C$33:$C$34</c:f>
              <c:numCache>
                <c:formatCode>0.00</c:formatCode>
                <c:ptCount val="1"/>
                <c:pt idx="0">
                  <c:v>32.5</c:v>
                </c:pt>
              </c:numCache>
            </c:numRef>
          </c:val>
          <c:extLst>
            <c:ext xmlns:c16="http://schemas.microsoft.com/office/drawing/2014/chart" uri="{C3380CC4-5D6E-409C-BE32-E72D297353CC}">
              <c16:uniqueId val="{00000001-28A3-49EF-B808-998A2C331236}"/>
            </c:ext>
          </c:extLst>
        </c:ser>
        <c:dLbls>
          <c:showLegendKey val="0"/>
          <c:showVal val="0"/>
          <c:showCatName val="0"/>
          <c:showSerName val="0"/>
          <c:showPercent val="0"/>
          <c:showBubbleSize val="0"/>
        </c:dLbls>
        <c:gapWidth val="182"/>
        <c:axId val="1701815328"/>
        <c:axId val="1701812832"/>
      </c:barChart>
      <c:catAx>
        <c:axId val="1701815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812832"/>
        <c:crosses val="autoZero"/>
        <c:auto val="1"/>
        <c:lblAlgn val="ctr"/>
        <c:lblOffset val="100"/>
        <c:noMultiLvlLbl val="0"/>
      </c:catAx>
      <c:valAx>
        <c:axId val="170181283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815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205828</xdr:colOff>
      <xdr:row>0</xdr:row>
      <xdr:rowOff>0</xdr:rowOff>
    </xdr:from>
    <xdr:to>
      <xdr:col>26</xdr:col>
      <xdr:colOff>164225</xdr:colOff>
      <xdr:row>40</xdr:row>
      <xdr:rowOff>12700</xdr:rowOff>
    </xdr:to>
    <xdr:sp macro="" textlink="">
      <xdr:nvSpPr>
        <xdr:cNvPr id="6" name="Rectangle 5">
          <a:extLst>
            <a:ext uri="{FF2B5EF4-FFF2-40B4-BE49-F238E27FC236}">
              <a16:creationId xmlns:a16="http://schemas.microsoft.com/office/drawing/2014/main" id="{F94BBA25-1118-4D6A-890B-520D251FB51E}"/>
            </a:ext>
          </a:extLst>
        </xdr:cNvPr>
        <xdr:cNvSpPr/>
      </xdr:nvSpPr>
      <xdr:spPr>
        <a:xfrm>
          <a:off x="2351690" y="0"/>
          <a:ext cx="14059776" cy="7457528"/>
        </a:xfrm>
        <a:prstGeom prst="rect">
          <a:avLst/>
        </a:prstGeom>
        <a:solidFill>
          <a:schemeClr val="accent6">
            <a:lumMod val="20000"/>
            <a:lumOff val="80000"/>
          </a:schemeClr>
        </a:soli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0</xdr:colOff>
      <xdr:row>0</xdr:row>
      <xdr:rowOff>0</xdr:rowOff>
    </xdr:from>
    <xdr:to>
      <xdr:col>3</xdr:col>
      <xdr:colOff>50800</xdr:colOff>
      <xdr:row>40</xdr:row>
      <xdr:rowOff>12700</xdr:rowOff>
    </xdr:to>
    <xdr:sp macro="" textlink="">
      <xdr:nvSpPr>
        <xdr:cNvPr id="5" name="Rectangle 4">
          <a:extLst>
            <a:ext uri="{FF2B5EF4-FFF2-40B4-BE49-F238E27FC236}">
              <a16:creationId xmlns:a16="http://schemas.microsoft.com/office/drawing/2014/main" id="{0566918B-16EC-4B08-AEC3-4624AFDA6A54}"/>
            </a:ext>
          </a:extLst>
        </xdr:cNvPr>
        <xdr:cNvSpPr/>
      </xdr:nvSpPr>
      <xdr:spPr>
        <a:xfrm>
          <a:off x="0" y="0"/>
          <a:ext cx="2196662" cy="7457528"/>
        </a:xfrm>
        <a:prstGeom prst="rect">
          <a:avLst/>
        </a:prstGeom>
        <a:solidFill>
          <a:schemeClr val="accent6">
            <a:lumMod val="50000"/>
          </a:schemeClr>
        </a:solidFill>
        <a:effectLst>
          <a:outerShdw blurRad="50800" dist="38100" algn="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218090</xdr:colOff>
      <xdr:row>3</xdr:row>
      <xdr:rowOff>98534</xdr:rowOff>
    </xdr:from>
    <xdr:to>
      <xdr:col>2</xdr:col>
      <xdr:colOff>250934</xdr:colOff>
      <xdr:row>7</xdr:row>
      <xdr:rowOff>164224</xdr:rowOff>
    </xdr:to>
    <xdr:sp macro="" textlink="Pivots!E4">
      <xdr:nvSpPr>
        <xdr:cNvPr id="7" name="Rectangle: Diagonal Corners Rounded 6">
          <a:extLst>
            <a:ext uri="{FF2B5EF4-FFF2-40B4-BE49-F238E27FC236}">
              <a16:creationId xmlns:a16="http://schemas.microsoft.com/office/drawing/2014/main" id="{DBF1AA2F-D35E-44F9-8196-CDF68C639452}"/>
            </a:ext>
          </a:extLst>
        </xdr:cNvPr>
        <xdr:cNvSpPr/>
      </xdr:nvSpPr>
      <xdr:spPr>
        <a:xfrm>
          <a:off x="218090" y="656896"/>
          <a:ext cx="1565603" cy="810173"/>
        </a:xfrm>
        <a:prstGeom prst="round2Diag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864F1095-26EE-4E17-937E-3836C8B66817}" type="TxLink">
            <a:rPr lang="en-US" sz="2000" b="1" i="0" u="none" strike="noStrike">
              <a:solidFill>
                <a:srgbClr val="000000"/>
              </a:solidFill>
              <a:effectLst>
                <a:outerShdw blurRad="12700" dist="50800" dir="5400000" algn="ctr" rotWithShape="0">
                  <a:srgbClr val="000000">
                    <a:alpha val="43137"/>
                  </a:srgbClr>
                </a:outerShdw>
              </a:effectLst>
              <a:latin typeface="Calibri"/>
              <a:ea typeface="Calibri"/>
              <a:cs typeface="Calibri"/>
            </a:rPr>
            <a:t>$1,238.0k</a:t>
          </a:fld>
          <a:endParaRPr lang="en-US" sz="2000" b="1">
            <a:effectLst>
              <a:outerShdw blurRad="12700" dist="50800" dir="5400000" algn="ctr" rotWithShape="0">
                <a:srgbClr val="000000">
                  <a:alpha val="43137"/>
                </a:srgbClr>
              </a:outerShdw>
            </a:effectLst>
          </a:endParaRPr>
        </a:p>
      </xdr:txBody>
    </xdr:sp>
    <xdr:clientData/>
  </xdr:twoCellAnchor>
  <xdr:twoCellAnchor>
    <xdr:from>
      <xdr:col>0</xdr:col>
      <xdr:colOff>207142</xdr:colOff>
      <xdr:row>8</xdr:row>
      <xdr:rowOff>163349</xdr:rowOff>
    </xdr:from>
    <xdr:to>
      <xdr:col>2</xdr:col>
      <xdr:colOff>239986</xdr:colOff>
      <xdr:row>13</xdr:row>
      <xdr:rowOff>42919</xdr:rowOff>
    </xdr:to>
    <xdr:sp macro="" textlink="Pivots!F4">
      <xdr:nvSpPr>
        <xdr:cNvPr id="8" name="Rectangle: Diagonal Corners Rounded 7">
          <a:extLst>
            <a:ext uri="{FF2B5EF4-FFF2-40B4-BE49-F238E27FC236}">
              <a16:creationId xmlns:a16="http://schemas.microsoft.com/office/drawing/2014/main" id="{50D380AC-77A4-4E88-B918-1A282E4466A4}"/>
            </a:ext>
          </a:extLst>
        </xdr:cNvPr>
        <xdr:cNvSpPr/>
      </xdr:nvSpPr>
      <xdr:spPr>
        <a:xfrm>
          <a:off x="207142" y="1652315"/>
          <a:ext cx="1565603" cy="810173"/>
        </a:xfrm>
        <a:prstGeom prst="round2Diag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fld id="{B51A0DCA-AE2F-4BE5-93FD-8407205519FA}" type="TxLink">
            <a:rPr lang="en-US" sz="2000" b="1" i="0" u="none" strike="noStrike">
              <a:solidFill>
                <a:srgbClr val="000000"/>
              </a:solidFill>
              <a:effectLst>
                <a:outerShdw blurRad="12700" dist="50800" dir="5400000" algn="ctr" rotWithShape="0">
                  <a:srgbClr val="000000">
                    <a:alpha val="43137"/>
                  </a:srgbClr>
                </a:outerShdw>
              </a:effectLst>
              <a:latin typeface="Calibri"/>
              <a:ea typeface="Calibri"/>
              <a:cs typeface="Calibri"/>
            </a:rPr>
            <a:pPr marL="0" indent="0" algn="l"/>
            <a:t>33</a:t>
          </a:fld>
          <a:endParaRPr lang="en-US" sz="2000" b="1" i="0" u="none" strike="noStrike">
            <a:solidFill>
              <a:srgbClr val="000000"/>
            </a:solidFill>
            <a:effectLst>
              <a:outerShdw blurRad="12700" dist="50800" dir="5400000" algn="ctr" rotWithShape="0">
                <a:srgbClr val="000000">
                  <a:alpha val="43137"/>
                </a:srgbClr>
              </a:outerShdw>
            </a:effectLst>
            <a:latin typeface="Calibri"/>
            <a:ea typeface="Calibri"/>
            <a:cs typeface="Calibri"/>
          </a:endParaRPr>
        </a:p>
      </xdr:txBody>
    </xdr:sp>
    <xdr:clientData/>
  </xdr:twoCellAnchor>
  <xdr:twoCellAnchor>
    <xdr:from>
      <xdr:col>3</xdr:col>
      <xdr:colOff>63499</xdr:colOff>
      <xdr:row>0</xdr:row>
      <xdr:rowOff>0</xdr:rowOff>
    </xdr:from>
    <xdr:to>
      <xdr:col>12</xdr:col>
      <xdr:colOff>536465</xdr:colOff>
      <xdr:row>15</xdr:row>
      <xdr:rowOff>32844</xdr:rowOff>
    </xdr:to>
    <xdr:graphicFrame macro="">
      <xdr:nvGraphicFramePr>
        <xdr:cNvPr id="10" name="Chart 9">
          <a:extLst>
            <a:ext uri="{FF2B5EF4-FFF2-40B4-BE49-F238E27FC236}">
              <a16:creationId xmlns:a16="http://schemas.microsoft.com/office/drawing/2014/main" id="{CFF86B77-0369-45A8-A97A-0C2F8BCD1C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578069</xdr:colOff>
      <xdr:row>0</xdr:row>
      <xdr:rowOff>65690</xdr:rowOff>
    </xdr:from>
    <xdr:to>
      <xdr:col>20</xdr:col>
      <xdr:colOff>245241</xdr:colOff>
      <xdr:row>15</xdr:row>
      <xdr:rowOff>17080</xdr:rowOff>
    </xdr:to>
    <xdr:graphicFrame macro="">
      <xdr:nvGraphicFramePr>
        <xdr:cNvPr id="11" name="Chart 10">
          <a:extLst>
            <a:ext uri="{FF2B5EF4-FFF2-40B4-BE49-F238E27FC236}">
              <a16:creationId xmlns:a16="http://schemas.microsoft.com/office/drawing/2014/main" id="{CED7E313-69CA-4F8D-99E9-F8790FC223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129189</xdr:colOff>
      <xdr:row>15</xdr:row>
      <xdr:rowOff>153276</xdr:rowOff>
    </xdr:from>
    <xdr:to>
      <xdr:col>12</xdr:col>
      <xdr:colOff>536466</xdr:colOff>
      <xdr:row>30</xdr:row>
      <xdr:rowOff>104665</xdr:rowOff>
    </xdr:to>
    <xdr:graphicFrame macro="">
      <xdr:nvGraphicFramePr>
        <xdr:cNvPr id="13" name="Chart 12">
          <a:extLst>
            <a:ext uri="{FF2B5EF4-FFF2-40B4-BE49-F238E27FC236}">
              <a16:creationId xmlns:a16="http://schemas.microsoft.com/office/drawing/2014/main" id="{9EC9D9C3-ECA4-4F23-801B-1138D8CF3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21896</xdr:colOff>
      <xdr:row>14</xdr:row>
      <xdr:rowOff>21896</xdr:rowOff>
    </xdr:from>
    <xdr:to>
      <xdr:col>2</xdr:col>
      <xdr:colOff>591205</xdr:colOff>
      <xdr:row>30</xdr:row>
      <xdr:rowOff>142326</xdr:rowOff>
    </xdr:to>
    <mc:AlternateContent xmlns:mc="http://schemas.openxmlformats.org/markup-compatibility/2006">
      <mc:Choice xmlns:a14="http://schemas.microsoft.com/office/drawing/2010/main" Requires="a14">
        <xdr:graphicFrame macro="">
          <xdr:nvGraphicFramePr>
            <xdr:cNvPr id="15" name="Gender">
              <a:extLst>
                <a:ext uri="{FF2B5EF4-FFF2-40B4-BE49-F238E27FC236}">
                  <a16:creationId xmlns:a16="http://schemas.microsoft.com/office/drawing/2014/main" id="{3D652100-12B4-46EE-A789-2390FAF9C01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1896" y="2627586"/>
              <a:ext cx="2102068" cy="30983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569310</xdr:colOff>
      <xdr:row>19</xdr:row>
      <xdr:rowOff>120431</xdr:rowOff>
    </xdr:from>
    <xdr:to>
      <xdr:col>26</xdr:col>
      <xdr:colOff>120431</xdr:colOff>
      <xdr:row>30</xdr:row>
      <xdr:rowOff>109482</xdr:rowOff>
    </xdr:to>
    <xdr:sp macro="" textlink="">
      <xdr:nvSpPr>
        <xdr:cNvPr id="16" name="TextBox 15">
          <a:extLst>
            <a:ext uri="{FF2B5EF4-FFF2-40B4-BE49-F238E27FC236}">
              <a16:creationId xmlns:a16="http://schemas.microsoft.com/office/drawing/2014/main" id="{F90F2626-3D93-4F74-9ABF-44330FD99C7E}"/>
            </a:ext>
          </a:extLst>
        </xdr:cNvPr>
        <xdr:cNvSpPr txBox="1"/>
      </xdr:nvSpPr>
      <xdr:spPr>
        <a:xfrm>
          <a:off x="8233103" y="3656724"/>
          <a:ext cx="8134569" cy="2036379"/>
        </a:xfrm>
        <a:prstGeom prst="rect">
          <a:avLst/>
        </a:prstGeom>
        <a:pattFill prst="dkDnDiag">
          <a:fgClr>
            <a:schemeClr val="accent6">
              <a:lumMod val="20000"/>
              <a:lumOff val="80000"/>
            </a:schemeClr>
          </a:fgClr>
          <a:bgClr>
            <a:schemeClr val="bg1"/>
          </a:bgClr>
        </a:patt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latin typeface="Arial Black" panose="020B0A04020102020204" pitchFamily="34" charset="0"/>
            </a:rPr>
            <a:t>Insights &amp; Recommendation</a:t>
          </a:r>
        </a:p>
        <a:p>
          <a:endParaRPr lang="en-US" sz="1100"/>
        </a:p>
        <a:p>
          <a:endParaRPr lang="en-US" sz="1100">
            <a:effectLst>
              <a:outerShdw blurRad="50800" dist="38100" dir="2700000" algn="tl" rotWithShape="0">
                <a:schemeClr val="accent1">
                  <a:alpha val="40000"/>
                </a:schemeClr>
              </a:outerShdw>
            </a:effectLst>
          </a:endParaRPr>
        </a:p>
        <a:p>
          <a:r>
            <a:rPr lang="en-US" sz="1600">
              <a:latin typeface="Times New Roman" panose="02020603050405020304" pitchFamily="18" charset="0"/>
              <a:cs typeface="Times New Roman" panose="02020603050405020304" pitchFamily="18" charset="0"/>
            </a:rPr>
            <a:t>Insights:1. Electronics department drives the highest sales.2. Female customers contribute more to overall sales volume.</a:t>
          </a:r>
        </a:p>
        <a:p>
          <a:endParaRPr lang="en-US" sz="1600">
            <a:latin typeface="Times New Roman" panose="02020603050405020304" pitchFamily="18" charset="0"/>
            <a:cs typeface="Times New Roman" panose="02020603050405020304" pitchFamily="18" charset="0"/>
          </a:endParaRPr>
        </a:p>
        <a:p>
          <a:r>
            <a:rPr lang="en-US" sz="1600">
              <a:latin typeface="Times New Roman" panose="02020603050405020304" pitchFamily="18" charset="0"/>
              <a:cs typeface="Times New Roman" panose="02020603050405020304" pitchFamily="18" charset="0"/>
            </a:rPr>
            <a:t>Recommendation:Focus marketing efforts on female customers in high-performing departments like Electronics to maximize </a:t>
          </a:r>
          <a:r>
            <a:rPr lang="en-US" sz="1600">
              <a:solidFill>
                <a:schemeClr val="dk1"/>
              </a:solidFill>
              <a:latin typeface="Times New Roman" panose="02020603050405020304" pitchFamily="18" charset="0"/>
              <a:cs typeface="Times New Roman" panose="02020603050405020304" pitchFamily="18" charset="0"/>
            </a:rPr>
            <a:t>revenue</a:t>
          </a:r>
          <a:r>
            <a:rPr lang="en-US" sz="1600">
              <a:latin typeface="Times New Roman" panose="02020603050405020304" pitchFamily="18" charset="0"/>
              <a:cs typeface="Times New Roman" panose="02020603050405020304" pitchFamily="18" charset="0"/>
            </a:rPr>
            <a: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53.205622800924" createdVersion="7" refreshedVersion="7" minRefreshableVersion="3" recordCount="28" xr:uid="{1FDEDD64-AE6C-4931-B4D7-E13A05F6D3F4}">
  <cacheSource type="worksheet">
    <worksheetSource ref="A1:L29" sheet="Sheet1"/>
  </cacheSource>
  <cacheFields count="14">
    <cacheField name="FirstName" numFmtId="0">
      <sharedItems/>
    </cacheField>
    <cacheField name="SurName" numFmtId="0">
      <sharedItems/>
    </cacheField>
    <cacheField name="Full_Name" numFmtId="0">
      <sharedItems/>
    </cacheField>
    <cacheField name="Gender" numFmtId="0">
      <sharedItems count="2">
        <s v="Male"/>
        <s v="Female"/>
      </sharedItems>
    </cacheField>
    <cacheField name="Department" numFmtId="0">
      <sharedItems count="6">
        <s v="Babies"/>
        <s v="Fruits and Veggies"/>
        <s v="Pasteries"/>
        <s v="Fashion"/>
        <s v="Shoes"/>
        <s v="Food Stuff"/>
      </sharedItems>
    </cacheField>
    <cacheField name="Quantity Sold" numFmtId="0">
      <sharedItems containsSemiMixedTypes="0" containsString="0" containsNumber="1" containsInteger="1" minValue="10" maxValue="60"/>
    </cacheField>
    <cacheField name="Amount Sold" numFmtId="164">
      <sharedItems containsSemiMixedTypes="0" containsString="0" containsNumber="1" containsInteger="1" minValue="5000" maxValue="20000000"/>
    </cacheField>
    <cacheField name="Date Sold" numFmtId="0">
      <sharedItems containsSemiMixedTypes="0" containsNonDate="0" containsDate="1" containsString="0" minDate="2002-10-12T00:00:00" maxDate="2024-12-26T00:00:00" count="24">
        <d v="2003-11-09T00:00:00"/>
        <d v="2003-03-15T00:00:00"/>
        <d v="2002-10-12T00:00:00"/>
        <d v="2005-01-06T00:00:00"/>
        <d v="2004-12-15T00:00:00"/>
        <d v="2005-08-10T00:00:00"/>
        <d v="2024-12-22T00:00:00"/>
        <d v="2024-01-12T00:00:00"/>
        <d v="2024-05-21T00:00:00"/>
        <d v="2024-04-23T00:00:00"/>
        <d v="2024-03-29T00:00:00"/>
        <d v="2024-05-15T00:00:00"/>
        <d v="2024-07-10T00:00:00"/>
        <d v="2024-02-02T00:00:00"/>
        <d v="2024-03-03T00:00:00"/>
        <d v="2024-01-20T00:00:00"/>
        <d v="2024-12-25T00:00:00"/>
        <d v="2024-07-15T00:00:00"/>
        <d v="2024-12-18T00:00:00"/>
        <d v="2024-01-06T00:00:00"/>
        <d v="2024-11-11T00:00:00"/>
        <d v="2024-10-10T00:00:00"/>
        <d v="2024-08-05T00:00:00"/>
        <d v="2024-09-15T00:00:00"/>
      </sharedItems>
      <fieldGroup par="13" base="7">
        <rangePr groupBy="months" startDate="2002-10-12T00:00:00" endDate="2024-12-26T00:00:00"/>
        <groupItems count="14">
          <s v="&lt;10/12/2002"/>
          <s v="Jan"/>
          <s v="Feb"/>
          <s v="Mar"/>
          <s v="Apr"/>
          <s v="May"/>
          <s v="Jun"/>
          <s v="Jul"/>
          <s v="Aug"/>
          <s v="Sep"/>
          <s v="Oct"/>
          <s v="Nov"/>
          <s v="Dec"/>
          <s v="&gt;12/26/2024"/>
        </groupItems>
      </fieldGroup>
    </cacheField>
    <cacheField name="Customer ID" numFmtId="0">
      <sharedItems/>
    </cacheField>
    <cacheField name="Total_Sales" numFmtId="164">
      <sharedItems containsSemiMixedTypes="0" containsString="0" containsNumber="1" containsInteger="1" minValue="60000" maxValue="600000000"/>
    </cacheField>
    <cacheField name="Sales_Category" numFmtId="164">
      <sharedItems/>
    </cacheField>
    <cacheField name="Cleaned_Amount sold" numFmtId="164">
      <sharedItems containsSemiMixedTypes="0" containsString="0" containsNumber="1" containsInteger="1" minValue="5000" maxValue="20000000"/>
    </cacheField>
    <cacheField name="Quarters" numFmtId="0" databaseField="0">
      <fieldGroup base="7">
        <rangePr groupBy="quarters" startDate="2002-10-12T00:00:00" endDate="2024-12-26T00:00:00"/>
        <groupItems count="6">
          <s v="&lt;10/12/2002"/>
          <s v="Qtr1"/>
          <s v="Qtr2"/>
          <s v="Qtr3"/>
          <s v="Qtr4"/>
          <s v="&gt;12/26/2024"/>
        </groupItems>
      </fieldGroup>
    </cacheField>
    <cacheField name="Years" numFmtId="0" databaseField="0">
      <fieldGroup base="7">
        <rangePr groupBy="years" startDate="2002-10-12T00:00:00" endDate="2024-12-26T00:00:00"/>
        <groupItems count="25">
          <s v="&lt;10/12/2002"/>
          <s v="2002"/>
          <s v="2003"/>
          <s v="2004"/>
          <s v="2005"/>
          <s v="2006"/>
          <s v="2007"/>
          <s v="2008"/>
          <s v="2009"/>
          <s v="2010"/>
          <s v="2011"/>
          <s v="2012"/>
          <s v="2013"/>
          <s v="2014"/>
          <s v="2015"/>
          <s v="2016"/>
          <s v="2017"/>
          <s v="2018"/>
          <s v="2019"/>
          <s v="2020"/>
          <s v="2021"/>
          <s v="2022"/>
          <s v="2023"/>
          <s v="2024"/>
          <s v="&gt;12/26/2024"/>
        </groupItems>
      </fieldGroup>
    </cacheField>
  </cacheFields>
  <extLst>
    <ext xmlns:x14="http://schemas.microsoft.com/office/spreadsheetml/2009/9/main" uri="{725AE2AE-9491-48be-B2B4-4EB974FC3084}">
      <x14:pivotCacheDefinition pivotCacheId="2400052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s v="Albert"/>
    <s v="Peterson"/>
    <s v="Albert Peterson"/>
    <x v="0"/>
    <x v="0"/>
    <n v="55"/>
    <n v="150000"/>
    <x v="0"/>
    <s v="100A"/>
    <n v="8250000"/>
    <s v="High sale"/>
    <n v="150000"/>
  </r>
  <r>
    <s v="Prince"/>
    <s v="jaden"/>
    <s v="Prince Jaden"/>
    <x v="0"/>
    <x v="1"/>
    <n v="47"/>
    <n v="70000"/>
    <x v="1"/>
    <s v="101b"/>
    <n v="3290000"/>
    <s v="High sale"/>
    <n v="70000"/>
  </r>
  <r>
    <s v="Green"/>
    <s v="Nathan"/>
    <s v="Green Nathan"/>
    <x v="0"/>
    <x v="2"/>
    <n v="38"/>
    <n v="23000"/>
    <x v="2"/>
    <s v="102c"/>
    <n v="874000"/>
    <s v="High sale"/>
    <n v="23000"/>
  </r>
  <r>
    <s v="philo"/>
    <s v="White"/>
    <s v="Philo White"/>
    <x v="1"/>
    <x v="3"/>
    <n v="47"/>
    <n v="100000"/>
    <x v="2"/>
    <s v="103d"/>
    <n v="4700000"/>
    <s v="High sale"/>
    <n v="100000"/>
  </r>
  <r>
    <s v="John"/>
    <s v="Brown"/>
    <s v="John Brown"/>
    <x v="0"/>
    <x v="2"/>
    <n v="28"/>
    <n v="90000"/>
    <x v="3"/>
    <s v="104w"/>
    <n v="2520000"/>
    <s v="High sale"/>
    <n v="90000"/>
  </r>
  <r>
    <s v="Josphine"/>
    <s v="Trunk"/>
    <s v="Josphine Trunk"/>
    <x v="1"/>
    <x v="0"/>
    <n v="60"/>
    <n v="45000"/>
    <x v="4"/>
    <s v="105F"/>
    <n v="2700000"/>
    <s v="High sale"/>
    <n v="45000"/>
  </r>
  <r>
    <s v="Carol"/>
    <s v="Jordan"/>
    <s v="Carol Jordan"/>
    <x v="1"/>
    <x v="0"/>
    <n v="53"/>
    <n v="28000"/>
    <x v="5"/>
    <s v="106Y"/>
    <n v="1484000"/>
    <s v="High sale"/>
    <n v="28000"/>
  </r>
  <r>
    <s v="Stephnie"/>
    <s v="Johnson"/>
    <s v="Stephnie Johnson"/>
    <x v="1"/>
    <x v="1"/>
    <n v="40"/>
    <n v="65000"/>
    <x v="3"/>
    <s v="107T"/>
    <n v="2600000"/>
    <s v="High sale"/>
    <n v="65000"/>
  </r>
  <r>
    <s v="Craig"/>
    <s v="Lambert"/>
    <s v="Craig Lambert"/>
    <x v="0"/>
    <x v="4"/>
    <n v="39"/>
    <n v="30000"/>
    <x v="0"/>
    <s v="108p"/>
    <n v="1170000"/>
    <s v="High sale"/>
    <n v="30000"/>
  </r>
  <r>
    <s v="Ginika"/>
    <s v="Nzleu"/>
    <s v="Ginika Nzleu"/>
    <x v="1"/>
    <x v="3"/>
    <n v="30"/>
    <n v="20000000"/>
    <x v="6"/>
    <s v="109Y"/>
    <n v="600000000"/>
    <s v="High sale"/>
    <n v="20000000"/>
  </r>
  <r>
    <s v="Chidinma"/>
    <s v="nzelu"/>
    <s v="Chidinma Nzelu"/>
    <x v="1"/>
    <x v="2"/>
    <n v="20"/>
    <n v="450000"/>
    <x v="7"/>
    <s v="110U"/>
    <n v="9000000"/>
    <s v="High sale"/>
    <n v="450000"/>
  </r>
  <r>
    <s v="Joseph"/>
    <s v="Obi"/>
    <s v="Joseph Obi"/>
    <x v="0"/>
    <x v="5"/>
    <n v="45"/>
    <n v="100000"/>
    <x v="8"/>
    <s v="111K"/>
    <n v="4500000"/>
    <s v="High sale"/>
    <n v="100000"/>
  </r>
  <r>
    <s v="Chike"/>
    <s v="John"/>
    <s v="Chike John"/>
    <x v="0"/>
    <x v="4"/>
    <n v="25"/>
    <n v="50000"/>
    <x v="9"/>
    <s v="112l"/>
    <n v="1250000"/>
    <s v="High sale"/>
    <n v="50000"/>
  </r>
  <r>
    <s v="Joshua"/>
    <s v="Peter"/>
    <s v="Joshua Peter"/>
    <x v="0"/>
    <x v="3"/>
    <n v="15"/>
    <n v="10000"/>
    <x v="6"/>
    <s v="113G"/>
    <n v="150000"/>
    <s v="Low sale"/>
    <n v="10000"/>
  </r>
  <r>
    <s v="mary"/>
    <s v="Chukwudi"/>
    <s v="Mary Chukwudi"/>
    <x v="1"/>
    <x v="4"/>
    <n v="10"/>
    <n v="35000"/>
    <x v="10"/>
    <s v="114M"/>
    <n v="350000"/>
    <s v="Low sale"/>
    <n v="35000"/>
  </r>
  <r>
    <s v="Mathew"/>
    <s v="Phillip"/>
    <s v="Mathew Phillip"/>
    <x v="0"/>
    <x v="2"/>
    <n v="18"/>
    <n v="15000"/>
    <x v="11"/>
    <s v="115C"/>
    <n v="270000"/>
    <s v="Low sale"/>
    <n v="15000"/>
  </r>
  <r>
    <s v="Mayjane"/>
    <s v="Kamen"/>
    <s v="Mayjane Kamen"/>
    <x v="1"/>
    <x v="0"/>
    <n v="28"/>
    <n v="65000"/>
    <x v="12"/>
    <s v="116X"/>
    <n v="1820000"/>
    <s v="High sale"/>
    <n v="65000"/>
  </r>
  <r>
    <s v="Chijioke"/>
    <s v="John"/>
    <s v="Chijioke John"/>
    <x v="0"/>
    <x v="5"/>
    <n v="40"/>
    <n v="55000"/>
    <x v="13"/>
    <s v="117H"/>
    <n v="2200000"/>
    <s v="High sale"/>
    <n v="55000"/>
  </r>
  <r>
    <s v="Oluebube"/>
    <s v="Phillip"/>
    <s v="Oluebube Phillip"/>
    <x v="1"/>
    <x v="1"/>
    <n v="20"/>
    <n v="35000"/>
    <x v="14"/>
    <s v="118S"/>
    <n v="700000"/>
    <s v="High sale"/>
    <n v="35000"/>
  </r>
  <r>
    <s v="Solomon"/>
    <s v="Chukwuma"/>
    <s v="Solomon Chukwuma"/>
    <x v="0"/>
    <x v="1"/>
    <n v="12"/>
    <n v="5000"/>
    <x v="15"/>
    <s v="119V"/>
    <n v="60000"/>
    <s v="Low sale"/>
    <n v="5000"/>
  </r>
  <r>
    <s v="chioma"/>
    <s v="Chukwuka"/>
    <s v="Chioma Chukwuka"/>
    <x v="1"/>
    <x v="5"/>
    <n v="45"/>
    <n v="60000"/>
    <x v="16"/>
    <s v="120Q"/>
    <n v="2700000"/>
    <s v="High sale"/>
    <n v="60000"/>
  </r>
  <r>
    <s v="Chika"/>
    <s v="Mark"/>
    <s v="Chika Mark"/>
    <x v="0"/>
    <x v="2"/>
    <n v="28"/>
    <n v="35000"/>
    <x v="17"/>
    <s v="121E"/>
    <n v="980000"/>
    <s v="High sale"/>
    <n v="35000"/>
  </r>
  <r>
    <s v="Ujunwa"/>
    <s v="Obidike"/>
    <s v="Ujunwa Obidike"/>
    <x v="1"/>
    <x v="3"/>
    <n v="35"/>
    <n v="70000"/>
    <x v="18"/>
    <s v="122K"/>
    <n v="2450000"/>
    <s v="High sale"/>
    <n v="70000"/>
  </r>
  <r>
    <s v="Kamsi"/>
    <s v="Emeka"/>
    <s v="Kamsi Emeka"/>
    <x v="0"/>
    <x v="3"/>
    <n v="45"/>
    <n v="105000"/>
    <x v="19"/>
    <s v="123P"/>
    <n v="4725000"/>
    <s v="High sale"/>
    <n v="105000"/>
  </r>
  <r>
    <s v="nafisat"/>
    <s v="Joseph"/>
    <s v="Nafisat Joseph"/>
    <x v="1"/>
    <x v="4"/>
    <n v="10"/>
    <n v="1000000"/>
    <x v="20"/>
    <s v="124H"/>
    <n v="10000000"/>
    <s v="High sale"/>
    <n v="1000000"/>
  </r>
  <r>
    <s v="Tochukwu"/>
    <s v="Emenike"/>
    <s v="Tochukwu Emenike"/>
    <x v="0"/>
    <x v="4"/>
    <n v="20"/>
    <n v="500000"/>
    <x v="21"/>
    <s v="125E"/>
    <n v="10000000"/>
    <s v="High sale"/>
    <n v="500000"/>
  </r>
  <r>
    <s v="Chinaza"/>
    <s v="Chima"/>
    <s v="Chinaza Chima"/>
    <x v="1"/>
    <x v="3"/>
    <n v="30"/>
    <n v="25000"/>
    <x v="22"/>
    <s v="126Q"/>
    <n v="750000"/>
    <s v="High sale"/>
    <n v="25000"/>
  </r>
  <r>
    <s v="Emeka"/>
    <s v="Frank"/>
    <s v="Emeka Frank"/>
    <x v="1"/>
    <x v="4"/>
    <n v="40"/>
    <n v="800000"/>
    <x v="23"/>
    <s v="127I"/>
    <n v="32000000"/>
    <s v="High sale"/>
    <n v="8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5E7C6B-C7DD-426C-8764-EE50C2047947}" name="pvtSales_Gender"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2:C34" firstHeaderRow="0" firstDataRow="1" firstDataCol="1"/>
  <pivotFields count="14">
    <pivotField showAll="0"/>
    <pivotField showAll="0"/>
    <pivotField showAll="0"/>
    <pivotField axis="axisRow" showAll="0">
      <items count="3">
        <item h="1" x="1"/>
        <item x="0"/>
        <item t="default"/>
      </items>
    </pivotField>
    <pivotField showAll="0"/>
    <pivotField dataField="1" showAll="0"/>
    <pivotField numFmtId="164" showAll="0"/>
    <pivotField showAll="0"/>
    <pivotField showAll="0"/>
    <pivotField numFmtId="164" showAll="0"/>
    <pivotField showAll="0"/>
    <pivotField dataField="1" numFmtId="164" showAll="0"/>
    <pivotField showAll="0" defaultSubtotal="0"/>
    <pivotField showAll="0" defaultSubtotal="0"/>
  </pivotFields>
  <rowFields count="1">
    <field x="3"/>
  </rowFields>
  <rowItems count="2">
    <i>
      <x v="1"/>
    </i>
    <i t="grand">
      <x/>
    </i>
  </rowItems>
  <colFields count="1">
    <field x="-2"/>
  </colFields>
  <colItems count="2">
    <i>
      <x/>
    </i>
    <i i="1">
      <x v="1"/>
    </i>
  </colItems>
  <dataFields count="2">
    <dataField name="Sum of Cleaned_Amount sold" fld="11" baseField="0" baseItem="0" numFmtId="164"/>
    <dataField name="Average of Quantity Sold" fld="5" subtotal="average" baseField="0" baseItem="1" numFmtId="2"/>
  </dataFields>
  <formats count="2">
    <format dxfId="12">
      <pivotArea outline="0" collapsedLevelsAreSubtotals="1" fieldPosition="0">
        <references count="1">
          <reference field="4294967294" count="1" selected="0">
            <x v="0"/>
          </reference>
        </references>
      </pivotArea>
    </format>
    <format dxfId="13">
      <pivotArea outline="0" collapsedLevelsAreSubtotals="1" fieldPosition="0">
        <references count="1">
          <reference field="4294967294" count="1" selected="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CB6E2F-1319-4B31-9D71-4D3451CD130A}" name="pvtSales_Year"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22:B27" firstHeaderRow="1" firstDataRow="1" firstDataCol="1"/>
  <pivotFields count="14">
    <pivotField showAll="0"/>
    <pivotField showAll="0"/>
    <pivotField showAll="0"/>
    <pivotField showAll="0">
      <items count="3">
        <item h="1" x="1"/>
        <item x="0"/>
        <item t="default"/>
      </items>
    </pivotField>
    <pivotField showAll="0"/>
    <pivotField showAll="0"/>
    <pivotField numFmtId="164" showAll="0"/>
    <pivotField showAll="0"/>
    <pivotField showAll="0"/>
    <pivotField numFmtId="164" showAll="0"/>
    <pivotField showAll="0"/>
    <pivotField dataField="1" numFmtId="164" showAll="0"/>
    <pivotField showAll="0" defaultSubtotal="0"/>
    <pivotField axis="axisRow" showAll="0" defaultSubtotal="0">
      <items count="25">
        <item x="0"/>
        <item x="1"/>
        <item x="2"/>
        <item x="3"/>
        <item x="4"/>
        <item x="5"/>
        <item x="6"/>
        <item x="7"/>
        <item x="8"/>
        <item x="9"/>
        <item x="10"/>
        <item x="11"/>
        <item x="12"/>
        <item x="13"/>
        <item x="14"/>
        <item x="15"/>
        <item x="16"/>
        <item x="17"/>
        <item x="18"/>
        <item x="19"/>
        <item x="20"/>
        <item x="21"/>
        <item x="22"/>
        <item x="23"/>
        <item x="24"/>
      </items>
    </pivotField>
  </pivotFields>
  <rowFields count="1">
    <field x="13"/>
  </rowFields>
  <rowItems count="5">
    <i>
      <x v="1"/>
    </i>
    <i>
      <x v="2"/>
    </i>
    <i>
      <x v="4"/>
    </i>
    <i>
      <x v="23"/>
    </i>
    <i t="grand">
      <x/>
    </i>
  </rowItems>
  <colItems count="1">
    <i/>
  </colItems>
  <dataFields count="1">
    <dataField name="Sum of Cleaned_Amount sold" fld="11" baseField="0" baseItem="0" numFmtId="164"/>
  </dataFields>
  <formats count="1">
    <format dxfId="14">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122AD1-1E84-474B-B09B-13E653241191}" name="pvtSales_Dept"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0:B17" firstHeaderRow="1" firstDataRow="1" firstDataCol="1"/>
  <pivotFields count="14">
    <pivotField showAll="0"/>
    <pivotField showAll="0"/>
    <pivotField showAll="0"/>
    <pivotField showAll="0">
      <items count="3">
        <item h="1" x="1"/>
        <item x="0"/>
        <item t="default"/>
      </items>
    </pivotField>
    <pivotField axis="axisRow" showAll="0">
      <items count="7">
        <item x="0"/>
        <item x="3"/>
        <item x="5"/>
        <item x="1"/>
        <item x="2"/>
        <item x="4"/>
        <item t="default"/>
      </items>
    </pivotField>
    <pivotField showAll="0"/>
    <pivotField numFmtId="164" showAll="0"/>
    <pivotField showAll="0"/>
    <pivotField showAll="0"/>
    <pivotField numFmtId="164" showAll="0"/>
    <pivotField showAll="0"/>
    <pivotField dataField="1" numFmtId="164" showAll="0"/>
    <pivotField showAll="0" defaultSubtotal="0"/>
    <pivotField showAll="0" defaultSubtotal="0"/>
  </pivotFields>
  <rowFields count="1">
    <field x="4"/>
  </rowFields>
  <rowItems count="7">
    <i>
      <x/>
    </i>
    <i>
      <x v="1"/>
    </i>
    <i>
      <x v="2"/>
    </i>
    <i>
      <x v="3"/>
    </i>
    <i>
      <x v="4"/>
    </i>
    <i>
      <x v="5"/>
    </i>
    <i t="grand">
      <x/>
    </i>
  </rowItems>
  <colItems count="1">
    <i/>
  </colItems>
  <dataFields count="1">
    <dataField name="Sum of Cleaned_Amount sold" fld="11" baseField="0" baseItem="0" numFmtId="164"/>
  </dataFields>
  <formats count="1">
    <format dxfId="15">
      <pivotArea outline="0" collapsedLevelsAreSubtotals="1" fieldPosition="0">
        <references count="1">
          <reference field="4294967294" count="1" selected="0">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57DF52-1333-4451-93D8-4F37B33EE658}" name="pvtTotal_Sales"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4" firstHeaderRow="0" firstDataRow="1" firstDataCol="0"/>
  <pivotFields count="14">
    <pivotField showAll="0"/>
    <pivotField showAll="0"/>
    <pivotField showAll="0"/>
    <pivotField showAll="0">
      <items count="3">
        <item h="1" x="1"/>
        <item x="0"/>
        <item t="default"/>
      </items>
    </pivotField>
    <pivotField showAll="0"/>
    <pivotField dataField="1" showAll="0"/>
    <pivotField numFmtId="164" showAll="0"/>
    <pivotField showAll="0"/>
    <pivotField showAll="0"/>
    <pivotField numFmtId="164" showAll="0"/>
    <pivotField showAll="0"/>
    <pivotField dataField="1" numFmtId="164" showAll="0"/>
    <pivotField showAll="0" defaultSubtotal="0"/>
    <pivotField showAll="0" defaultSubtotal="0"/>
  </pivotFields>
  <rowItems count="1">
    <i/>
  </rowItems>
  <colFields count="1">
    <field x="-2"/>
  </colFields>
  <colItems count="2">
    <i>
      <x/>
    </i>
    <i i="1">
      <x v="1"/>
    </i>
  </colItems>
  <dataFields count="2">
    <dataField name="Sum of Cleaned_Amount sold" fld="11" baseField="0" baseItem="0" numFmtId="164"/>
    <dataField name="Average of Quantity Sold" fld="5" subtotal="average" baseField="0" baseItem="1" numFmtId="2"/>
  </dataFields>
  <formats count="2">
    <format dxfId="17">
      <pivotArea outline="0" collapsedLevelsAreSubtotals="1" fieldPosition="0">
        <references count="1">
          <reference field="4294967294" count="1" selected="0">
            <x v="0"/>
          </reference>
        </references>
      </pivotArea>
    </format>
    <format dxfId="1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F1C30DD-8B39-4F0A-BBB6-94B51FFAAF34}" sourceName="Gender">
  <pivotTables>
    <pivotTable tabId="11" name="pvtSales_Gender"/>
    <pivotTable tabId="11" name="pvtSales_Dept"/>
    <pivotTable tabId="11" name="pvtSales_Year"/>
    <pivotTable tabId="11" name="pvtTotal_Sales"/>
  </pivotTables>
  <data>
    <tabular pivotCacheId="240005294">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B47C8B13-4B13-4B02-ABD0-E838EEF1FE70}" cache="Slicer_Gender" caption="Gender" rowHeight="241300"/>
</slicers>
</file>

<file path=xl/theme/theme1.xml><?xml version="1.0" encoding="utf-8"?>
<a:theme xmlns:a="http://schemas.openxmlformats.org/drawingml/2006/main" name="Office Theme">
  <a:themeElements>
    <a:clrScheme name="Red Orange">
      <a:dk1>
        <a:sysClr val="windowText" lastClr="000000"/>
      </a:dk1>
      <a:lt1>
        <a:sysClr val="window" lastClr="FFFFFF"/>
      </a:lt1>
      <a:dk2>
        <a:srgbClr val="505046"/>
      </a:dk2>
      <a:lt2>
        <a:srgbClr val="EEECE1"/>
      </a:lt2>
      <a:accent1>
        <a:srgbClr val="E84C22"/>
      </a:accent1>
      <a:accent2>
        <a:srgbClr val="FFBD47"/>
      </a:accent2>
      <a:accent3>
        <a:srgbClr val="B64926"/>
      </a:accent3>
      <a:accent4>
        <a:srgbClr val="FF8427"/>
      </a:accent4>
      <a:accent5>
        <a:srgbClr val="CC9900"/>
      </a:accent5>
      <a:accent6>
        <a:srgbClr val="B22600"/>
      </a:accent6>
      <a:hlink>
        <a:srgbClr val="CC9900"/>
      </a:hlink>
      <a:folHlink>
        <a:srgbClr val="666699"/>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6D6F-075F-4E4F-B03B-EB97E7E976DE}">
  <dimension ref="A3:G34"/>
  <sheetViews>
    <sheetView topLeftCell="A22" workbookViewId="0">
      <selection activeCell="A32" sqref="A32"/>
    </sheetView>
  </sheetViews>
  <sheetFormatPr defaultRowHeight="14.5"/>
  <cols>
    <col min="1" max="1" width="25.90625" bestFit="1" customWidth="1"/>
    <col min="2" max="4" width="21.81640625" bestFit="1" customWidth="1"/>
    <col min="5" max="5" width="16.26953125" customWidth="1"/>
  </cols>
  <sheetData>
    <row r="3" spans="1:7">
      <c r="A3" t="s">
        <v>102</v>
      </c>
      <c r="B3" t="s">
        <v>103</v>
      </c>
      <c r="E3" t="s">
        <v>108</v>
      </c>
      <c r="F3" t="s">
        <v>109</v>
      </c>
    </row>
    <row r="4" spans="1:7">
      <c r="A4" s="9">
        <v>1238000</v>
      </c>
      <c r="B4" s="15">
        <v>32.5</v>
      </c>
      <c r="E4" t="str">
        <f>TEXT(A4,"$#,##,.0k")</f>
        <v>$1,238.0k</v>
      </c>
      <c r="F4" t="str">
        <f t="shared" ref="F4:G4" si="0">TEXT(B4,"#,##")</f>
        <v>33</v>
      </c>
      <c r="G4" t="str">
        <f t="shared" si="0"/>
        <v/>
      </c>
    </row>
    <row r="10" spans="1:7">
      <c r="A10" s="19" t="s">
        <v>100</v>
      </c>
      <c r="B10" t="s">
        <v>102</v>
      </c>
    </row>
    <row r="11" spans="1:7">
      <c r="A11" s="5" t="s">
        <v>10</v>
      </c>
      <c r="B11" s="9">
        <v>150000</v>
      </c>
    </row>
    <row r="12" spans="1:7">
      <c r="A12" s="5" t="s">
        <v>23</v>
      </c>
      <c r="B12" s="9">
        <v>115000</v>
      </c>
    </row>
    <row r="13" spans="1:7">
      <c r="A13" s="5" t="s">
        <v>49</v>
      </c>
      <c r="B13" s="9">
        <v>155000</v>
      </c>
    </row>
    <row r="14" spans="1:7">
      <c r="A14" s="5" t="s">
        <v>14</v>
      </c>
      <c r="B14" s="9">
        <v>75000</v>
      </c>
    </row>
    <row r="15" spans="1:7">
      <c r="A15" s="5" t="s">
        <v>18</v>
      </c>
      <c r="B15" s="9">
        <v>163000</v>
      </c>
    </row>
    <row r="16" spans="1:7">
      <c r="A16" s="5" t="s">
        <v>39</v>
      </c>
      <c r="B16" s="9">
        <v>580000</v>
      </c>
    </row>
    <row r="17" spans="1:3">
      <c r="A17" s="5" t="s">
        <v>101</v>
      </c>
      <c r="B17" s="9">
        <v>1238000</v>
      </c>
    </row>
    <row r="22" spans="1:3">
      <c r="A22" s="19" t="s">
        <v>100</v>
      </c>
      <c r="B22" t="s">
        <v>102</v>
      </c>
    </row>
    <row r="23" spans="1:3">
      <c r="A23" s="5" t="s">
        <v>104</v>
      </c>
      <c r="B23" s="9">
        <v>23000</v>
      </c>
    </row>
    <row r="24" spans="1:3">
      <c r="A24" s="5" t="s">
        <v>105</v>
      </c>
      <c r="B24" s="9">
        <v>250000</v>
      </c>
    </row>
    <row r="25" spans="1:3">
      <c r="A25" s="5" t="s">
        <v>106</v>
      </c>
      <c r="B25" s="9">
        <v>90000</v>
      </c>
    </row>
    <row r="26" spans="1:3">
      <c r="A26" s="5" t="s">
        <v>107</v>
      </c>
      <c r="B26" s="9">
        <v>875000</v>
      </c>
    </row>
    <row r="27" spans="1:3">
      <c r="A27" s="5" t="s">
        <v>101</v>
      </c>
      <c r="B27" s="9">
        <v>1238000</v>
      </c>
    </row>
    <row r="32" spans="1:3">
      <c r="A32" s="19" t="s">
        <v>100</v>
      </c>
      <c r="B32" t="s">
        <v>102</v>
      </c>
      <c r="C32" t="s">
        <v>103</v>
      </c>
    </row>
    <row r="33" spans="1:3">
      <c r="A33" s="5" t="s">
        <v>9</v>
      </c>
      <c r="B33" s="9">
        <v>1238000</v>
      </c>
      <c r="C33" s="15">
        <v>32.5</v>
      </c>
    </row>
    <row r="34" spans="1:3">
      <c r="A34" s="5" t="s">
        <v>101</v>
      </c>
      <c r="B34" s="9">
        <v>1238000</v>
      </c>
      <c r="C34" s="15">
        <v>32.5</v>
      </c>
    </row>
  </sheetData>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4F36E-D316-4F3E-BC38-E9B606416031}">
  <dimension ref="A1:N31"/>
  <sheetViews>
    <sheetView zoomScale="58" zoomScaleNormal="58" workbookViewId="0">
      <selection sqref="A1:L29"/>
    </sheetView>
  </sheetViews>
  <sheetFormatPr defaultRowHeight="14.5"/>
  <cols>
    <col min="1" max="1" width="18.453125" customWidth="1"/>
    <col min="2" max="3" width="20.7265625" customWidth="1"/>
    <col min="4" max="4" width="16.81640625" customWidth="1"/>
    <col min="5" max="5" width="20.54296875" customWidth="1"/>
    <col min="6" max="6" width="21.26953125" customWidth="1"/>
    <col min="7" max="7" width="26" customWidth="1"/>
    <col min="8" max="8" width="24.26953125" customWidth="1"/>
    <col min="9" max="9" width="14.81640625" customWidth="1"/>
    <col min="10" max="10" width="20.453125" style="18" customWidth="1"/>
    <col min="11" max="11" width="24.36328125" customWidth="1"/>
    <col min="12" max="12" width="33.81640625" customWidth="1"/>
    <col min="13" max="13" width="13.81640625" bestFit="1" customWidth="1"/>
  </cols>
  <sheetData>
    <row r="1" spans="1:14">
      <c r="A1" s="1" t="s">
        <v>0</v>
      </c>
      <c r="B1" s="1" t="s">
        <v>1</v>
      </c>
      <c r="C1" s="1" t="s">
        <v>98</v>
      </c>
      <c r="D1" s="1" t="s">
        <v>2</v>
      </c>
      <c r="E1" s="1" t="s">
        <v>3</v>
      </c>
      <c r="F1" s="2" t="s">
        <v>95</v>
      </c>
      <c r="G1" s="3" t="s">
        <v>4</v>
      </c>
      <c r="H1" s="2" t="s">
        <v>5</v>
      </c>
      <c r="I1" s="4" t="s">
        <v>6</v>
      </c>
      <c r="J1" s="17" t="s">
        <v>96</v>
      </c>
      <c r="K1" s="4" t="s">
        <v>97</v>
      </c>
      <c r="L1" s="4" t="s">
        <v>99</v>
      </c>
    </row>
    <row r="2" spans="1:14">
      <c r="A2" s="5" t="s">
        <v>7</v>
      </c>
      <c r="B2" t="s">
        <v>8</v>
      </c>
      <c r="C2" t="str">
        <f>PROPER(_xlfn.CONCAT(A2," ",B2))</f>
        <v>Albert Peterson</v>
      </c>
      <c r="D2" s="5" t="s">
        <v>9</v>
      </c>
      <c r="E2" s="5" t="s">
        <v>10</v>
      </c>
      <c r="F2" s="6">
        <v>55</v>
      </c>
      <c r="G2" s="7">
        <v>150000</v>
      </c>
      <c r="H2" s="8">
        <v>37934</v>
      </c>
      <c r="I2" t="s">
        <v>11</v>
      </c>
      <c r="J2" s="18">
        <f t="shared" ref="J2:J29" si="0">F2*G2</f>
        <v>8250000</v>
      </c>
      <c r="K2" s="9" t="str">
        <f>IF(VALUE(J2)&gt;=50000,"High sale","Low sale")</f>
        <v>High sale</v>
      </c>
      <c r="L2" s="9">
        <f>VALUE(SUBSTITUTE(SUBSTITUTE(G2,"$",""),",",""))</f>
        <v>150000</v>
      </c>
      <c r="M2" s="9"/>
    </row>
    <row r="3" spans="1:14">
      <c r="A3" s="5" t="s">
        <v>12</v>
      </c>
      <c r="B3" t="s">
        <v>13</v>
      </c>
      <c r="C3" t="str">
        <f t="shared" ref="C3:C30" si="1">PROPER(_xlfn.CONCAT(A3," ",B3))</f>
        <v>Prince Jaden</v>
      </c>
      <c r="D3" s="5" t="s">
        <v>9</v>
      </c>
      <c r="E3" s="5" t="s">
        <v>14</v>
      </c>
      <c r="F3" s="6">
        <v>47</v>
      </c>
      <c r="G3" s="7">
        <v>70000</v>
      </c>
      <c r="H3" s="8">
        <v>37695</v>
      </c>
      <c r="I3" t="s">
        <v>15</v>
      </c>
      <c r="J3" s="18">
        <f t="shared" si="0"/>
        <v>3290000</v>
      </c>
      <c r="K3" s="9" t="str">
        <f t="shared" ref="K3" si="2">IF(VALUE(J3)&gt;=50000,"High sale", "Low sale")</f>
        <v>High sale</v>
      </c>
      <c r="L3" s="9">
        <f t="shared" ref="L3:L29" si="3">VALUE(SUBSTITUTE(SUBSTITUTE(G3,"$",""),",",""))</f>
        <v>70000</v>
      </c>
      <c r="N3" s="9"/>
    </row>
    <row r="4" spans="1:14">
      <c r="A4" s="5" t="s">
        <v>16</v>
      </c>
      <c r="B4" t="s">
        <v>17</v>
      </c>
      <c r="C4" t="str">
        <f t="shared" si="1"/>
        <v>Green Nathan</v>
      </c>
      <c r="D4" s="5" t="s">
        <v>9</v>
      </c>
      <c r="E4" s="5" t="s">
        <v>18</v>
      </c>
      <c r="F4" s="6">
        <v>38</v>
      </c>
      <c r="G4" s="7">
        <v>23000</v>
      </c>
      <c r="H4" s="8">
        <v>37541</v>
      </c>
      <c r="I4" t="s">
        <v>19</v>
      </c>
      <c r="J4" s="18">
        <f t="shared" si="0"/>
        <v>874000</v>
      </c>
      <c r="K4" s="9" t="str">
        <f>IF(VALUE(J4)&gt;=500000,"High sale", "Low sale")</f>
        <v>High sale</v>
      </c>
      <c r="L4" s="9">
        <f t="shared" si="3"/>
        <v>23000</v>
      </c>
    </row>
    <row r="5" spans="1:14">
      <c r="A5" s="5" t="s">
        <v>20</v>
      </c>
      <c r="B5" t="s">
        <v>21</v>
      </c>
      <c r="C5" t="str">
        <f t="shared" si="1"/>
        <v>Philo White</v>
      </c>
      <c r="D5" s="5" t="s">
        <v>22</v>
      </c>
      <c r="E5" s="5" t="s">
        <v>23</v>
      </c>
      <c r="F5" s="6">
        <v>47</v>
      </c>
      <c r="G5" s="7">
        <v>100000</v>
      </c>
      <c r="H5" s="8">
        <v>37541</v>
      </c>
      <c r="I5" t="s">
        <v>24</v>
      </c>
      <c r="J5" s="18">
        <f t="shared" si="0"/>
        <v>4700000</v>
      </c>
      <c r="K5" s="9" t="str">
        <f t="shared" ref="K5:K30" si="4">IF(VALUE(J5)&gt;=500000,"High sale", "Low sale")</f>
        <v>High sale</v>
      </c>
      <c r="L5" s="9">
        <f t="shared" si="3"/>
        <v>100000</v>
      </c>
    </row>
    <row r="6" spans="1:14">
      <c r="A6" s="5" t="s">
        <v>25</v>
      </c>
      <c r="B6" t="s">
        <v>26</v>
      </c>
      <c r="C6" t="str">
        <f t="shared" si="1"/>
        <v>John Brown</v>
      </c>
      <c r="D6" s="5" t="s">
        <v>9</v>
      </c>
      <c r="E6" s="5" t="s">
        <v>18</v>
      </c>
      <c r="F6" s="6">
        <v>28</v>
      </c>
      <c r="G6" s="7">
        <v>90000</v>
      </c>
      <c r="H6" s="8">
        <v>38358</v>
      </c>
      <c r="I6" t="s">
        <v>27</v>
      </c>
      <c r="J6" s="18">
        <f t="shared" si="0"/>
        <v>2520000</v>
      </c>
      <c r="K6" s="9" t="str">
        <f t="shared" si="4"/>
        <v>High sale</v>
      </c>
      <c r="L6" s="9">
        <f t="shared" si="3"/>
        <v>90000</v>
      </c>
    </row>
    <row r="7" spans="1:14">
      <c r="A7" s="5" t="s">
        <v>28</v>
      </c>
      <c r="B7" t="s">
        <v>29</v>
      </c>
      <c r="C7" t="str">
        <f t="shared" si="1"/>
        <v>Josphine Trunk</v>
      </c>
      <c r="D7" s="5" t="s">
        <v>22</v>
      </c>
      <c r="E7" s="5" t="s">
        <v>10</v>
      </c>
      <c r="F7" s="6">
        <v>60</v>
      </c>
      <c r="G7" s="7">
        <v>45000</v>
      </c>
      <c r="H7" s="8">
        <v>38336</v>
      </c>
      <c r="I7" t="s">
        <v>30</v>
      </c>
      <c r="J7" s="18">
        <f t="shared" si="0"/>
        <v>2700000</v>
      </c>
      <c r="K7" s="9" t="str">
        <f t="shared" si="4"/>
        <v>High sale</v>
      </c>
      <c r="L7" s="9">
        <f t="shared" si="3"/>
        <v>45000</v>
      </c>
    </row>
    <row r="8" spans="1:14">
      <c r="A8" s="5" t="s">
        <v>31</v>
      </c>
      <c r="B8" t="s">
        <v>32</v>
      </c>
      <c r="C8" t="str">
        <f t="shared" si="1"/>
        <v>Carol Jordan</v>
      </c>
      <c r="D8" s="5" t="s">
        <v>22</v>
      </c>
      <c r="E8" s="5" t="s">
        <v>10</v>
      </c>
      <c r="F8" s="6">
        <v>53</v>
      </c>
      <c r="G8" s="7">
        <v>28000</v>
      </c>
      <c r="H8" s="8">
        <v>38574</v>
      </c>
      <c r="I8" t="s">
        <v>33</v>
      </c>
      <c r="J8" s="18">
        <f t="shared" si="0"/>
        <v>1484000</v>
      </c>
      <c r="K8" s="9" t="str">
        <f t="shared" si="4"/>
        <v>High sale</v>
      </c>
      <c r="L8" s="9">
        <f t="shared" si="3"/>
        <v>28000</v>
      </c>
    </row>
    <row r="9" spans="1:14">
      <c r="A9" s="5" t="s">
        <v>34</v>
      </c>
      <c r="B9" t="s">
        <v>35</v>
      </c>
      <c r="C9" t="str">
        <f t="shared" si="1"/>
        <v>Stephnie Johnson</v>
      </c>
      <c r="D9" s="5" t="s">
        <v>22</v>
      </c>
      <c r="E9" s="5" t="s">
        <v>14</v>
      </c>
      <c r="F9" s="6">
        <v>40</v>
      </c>
      <c r="G9" s="7">
        <v>65000</v>
      </c>
      <c r="H9" s="8">
        <v>38358</v>
      </c>
      <c r="I9" t="s">
        <v>36</v>
      </c>
      <c r="J9" s="18">
        <f t="shared" si="0"/>
        <v>2600000</v>
      </c>
      <c r="K9" s="9" t="str">
        <f t="shared" si="4"/>
        <v>High sale</v>
      </c>
      <c r="L9" s="9">
        <f t="shared" si="3"/>
        <v>65000</v>
      </c>
    </row>
    <row r="10" spans="1:14">
      <c r="A10" s="5" t="s">
        <v>37</v>
      </c>
      <c r="B10" t="s">
        <v>38</v>
      </c>
      <c r="C10" t="str">
        <f t="shared" si="1"/>
        <v>Craig Lambert</v>
      </c>
      <c r="D10" s="5" t="s">
        <v>9</v>
      </c>
      <c r="E10" s="5" t="s">
        <v>39</v>
      </c>
      <c r="F10" s="6">
        <v>39</v>
      </c>
      <c r="G10" s="7">
        <v>30000</v>
      </c>
      <c r="H10" s="8">
        <v>37934</v>
      </c>
      <c r="I10" t="s">
        <v>40</v>
      </c>
      <c r="J10" s="18">
        <f t="shared" si="0"/>
        <v>1170000</v>
      </c>
      <c r="K10" s="9" t="str">
        <f t="shared" si="4"/>
        <v>High sale</v>
      </c>
      <c r="L10" s="9">
        <f t="shared" si="3"/>
        <v>30000</v>
      </c>
    </row>
    <row r="11" spans="1:14">
      <c r="A11" s="10" t="s">
        <v>41</v>
      </c>
      <c r="B11" s="10" t="s">
        <v>42</v>
      </c>
      <c r="C11" t="str">
        <f t="shared" si="1"/>
        <v>Ginika Nzleu</v>
      </c>
      <c r="D11" s="10" t="s">
        <v>22</v>
      </c>
      <c r="E11" s="10" t="s">
        <v>23</v>
      </c>
      <c r="F11" s="11">
        <v>30</v>
      </c>
      <c r="G11" s="12">
        <v>20000000</v>
      </c>
      <c r="H11" s="13">
        <v>45648</v>
      </c>
      <c r="I11" t="s">
        <v>43</v>
      </c>
      <c r="J11" s="18">
        <f t="shared" si="0"/>
        <v>600000000</v>
      </c>
      <c r="K11" s="9" t="str">
        <f t="shared" si="4"/>
        <v>High sale</v>
      </c>
      <c r="L11" s="9">
        <f t="shared" si="3"/>
        <v>20000000</v>
      </c>
    </row>
    <row r="12" spans="1:14">
      <c r="A12" s="10" t="s">
        <v>44</v>
      </c>
      <c r="B12" s="14" t="s">
        <v>45</v>
      </c>
      <c r="C12" t="str">
        <f t="shared" si="1"/>
        <v>Chidinma Nzelu</v>
      </c>
      <c r="D12" s="10" t="s">
        <v>22</v>
      </c>
      <c r="E12" s="10" t="s">
        <v>18</v>
      </c>
      <c r="F12" s="11">
        <v>20</v>
      </c>
      <c r="G12" s="12">
        <v>450000</v>
      </c>
      <c r="H12" s="13">
        <v>45303</v>
      </c>
      <c r="I12" t="s">
        <v>46</v>
      </c>
      <c r="J12" s="18">
        <f t="shared" si="0"/>
        <v>9000000</v>
      </c>
      <c r="K12" s="9" t="str">
        <f t="shared" si="4"/>
        <v>High sale</v>
      </c>
      <c r="L12" s="9">
        <f t="shared" si="3"/>
        <v>450000</v>
      </c>
    </row>
    <row r="13" spans="1:14">
      <c r="A13" s="10" t="s">
        <v>47</v>
      </c>
      <c r="B13" s="10" t="s">
        <v>48</v>
      </c>
      <c r="C13" t="str">
        <f t="shared" si="1"/>
        <v>Joseph Obi</v>
      </c>
      <c r="D13" s="10" t="s">
        <v>9</v>
      </c>
      <c r="E13" s="10" t="s">
        <v>49</v>
      </c>
      <c r="F13" s="11">
        <v>45</v>
      </c>
      <c r="G13" s="12">
        <v>100000</v>
      </c>
      <c r="H13" s="13">
        <v>45433</v>
      </c>
      <c r="I13" t="s">
        <v>50</v>
      </c>
      <c r="J13" s="18">
        <f t="shared" si="0"/>
        <v>4500000</v>
      </c>
      <c r="K13" s="9" t="str">
        <f t="shared" si="4"/>
        <v>High sale</v>
      </c>
      <c r="L13" s="9">
        <f t="shared" si="3"/>
        <v>100000</v>
      </c>
    </row>
    <row r="14" spans="1:14">
      <c r="A14" s="10" t="s">
        <v>51</v>
      </c>
      <c r="B14" s="10" t="s">
        <v>25</v>
      </c>
      <c r="C14" t="str">
        <f t="shared" si="1"/>
        <v>Chike John</v>
      </c>
      <c r="D14" s="10" t="s">
        <v>9</v>
      </c>
      <c r="E14" s="10" t="s">
        <v>39</v>
      </c>
      <c r="F14" s="11">
        <v>25</v>
      </c>
      <c r="G14" s="12">
        <v>50000</v>
      </c>
      <c r="H14" s="13">
        <v>45405</v>
      </c>
      <c r="I14" t="s">
        <v>52</v>
      </c>
      <c r="J14" s="18">
        <f t="shared" si="0"/>
        <v>1250000</v>
      </c>
      <c r="K14" s="9" t="str">
        <f t="shared" si="4"/>
        <v>High sale</v>
      </c>
      <c r="L14" s="9">
        <f t="shared" si="3"/>
        <v>50000</v>
      </c>
    </row>
    <row r="15" spans="1:14">
      <c r="A15" s="10" t="s">
        <v>53</v>
      </c>
      <c r="B15" s="10" t="s">
        <v>54</v>
      </c>
      <c r="C15" t="str">
        <f t="shared" si="1"/>
        <v>Joshua Peter</v>
      </c>
      <c r="D15" s="10" t="s">
        <v>9</v>
      </c>
      <c r="E15" s="10" t="s">
        <v>23</v>
      </c>
      <c r="F15" s="11">
        <v>15</v>
      </c>
      <c r="G15" s="12">
        <v>10000</v>
      </c>
      <c r="H15" s="13">
        <v>45648</v>
      </c>
      <c r="I15" t="s">
        <v>55</v>
      </c>
      <c r="J15" s="18">
        <f t="shared" si="0"/>
        <v>150000</v>
      </c>
      <c r="K15" s="9" t="str">
        <f t="shared" si="4"/>
        <v>Low sale</v>
      </c>
      <c r="L15" s="9">
        <f t="shared" si="3"/>
        <v>10000</v>
      </c>
    </row>
    <row r="16" spans="1:14">
      <c r="A16" s="14" t="s">
        <v>56</v>
      </c>
      <c r="B16" s="10" t="s">
        <v>57</v>
      </c>
      <c r="C16" t="str">
        <f t="shared" si="1"/>
        <v>Mary Chukwudi</v>
      </c>
      <c r="D16" s="10" t="s">
        <v>22</v>
      </c>
      <c r="E16" s="10" t="s">
        <v>39</v>
      </c>
      <c r="F16" s="11">
        <v>10</v>
      </c>
      <c r="G16" s="12">
        <v>35000</v>
      </c>
      <c r="H16" s="13">
        <v>45380</v>
      </c>
      <c r="I16" t="s">
        <v>58</v>
      </c>
      <c r="J16" s="18">
        <f t="shared" si="0"/>
        <v>350000</v>
      </c>
      <c r="K16" s="9" t="str">
        <f t="shared" si="4"/>
        <v>Low sale</v>
      </c>
      <c r="L16" s="9">
        <f t="shared" si="3"/>
        <v>35000</v>
      </c>
    </row>
    <row r="17" spans="1:12">
      <c r="A17" s="10" t="s">
        <v>59</v>
      </c>
      <c r="B17" s="10" t="s">
        <v>60</v>
      </c>
      <c r="C17" t="str">
        <f t="shared" si="1"/>
        <v>Mathew Phillip</v>
      </c>
      <c r="D17" s="10" t="s">
        <v>9</v>
      </c>
      <c r="E17" s="10" t="s">
        <v>18</v>
      </c>
      <c r="F17" s="11">
        <v>18</v>
      </c>
      <c r="G17" s="12">
        <v>15000</v>
      </c>
      <c r="H17" s="13">
        <v>45427</v>
      </c>
      <c r="I17" t="s">
        <v>61</v>
      </c>
      <c r="J17" s="18">
        <f t="shared" si="0"/>
        <v>270000</v>
      </c>
      <c r="K17" s="9" t="str">
        <f t="shared" si="4"/>
        <v>Low sale</v>
      </c>
      <c r="L17" s="9">
        <f t="shared" si="3"/>
        <v>15000</v>
      </c>
    </row>
    <row r="18" spans="1:12">
      <c r="A18" s="10" t="s">
        <v>62</v>
      </c>
      <c r="B18" s="10" t="s">
        <v>63</v>
      </c>
      <c r="C18" t="str">
        <f t="shared" si="1"/>
        <v>Mayjane Kamen</v>
      </c>
      <c r="D18" s="10" t="s">
        <v>22</v>
      </c>
      <c r="E18" s="10" t="s">
        <v>10</v>
      </c>
      <c r="F18" s="11">
        <v>28</v>
      </c>
      <c r="G18" s="12">
        <v>65000</v>
      </c>
      <c r="H18" s="13">
        <v>45483</v>
      </c>
      <c r="I18" t="s">
        <v>64</v>
      </c>
      <c r="J18" s="18">
        <f t="shared" si="0"/>
        <v>1820000</v>
      </c>
      <c r="K18" s="9" t="str">
        <f t="shared" si="4"/>
        <v>High sale</v>
      </c>
      <c r="L18" s="9">
        <f t="shared" si="3"/>
        <v>65000</v>
      </c>
    </row>
    <row r="19" spans="1:12">
      <c r="A19" s="10" t="s">
        <v>65</v>
      </c>
      <c r="B19" s="14" t="s">
        <v>66</v>
      </c>
      <c r="C19" t="str">
        <f t="shared" si="1"/>
        <v>Chijioke John</v>
      </c>
      <c r="D19" s="10" t="s">
        <v>9</v>
      </c>
      <c r="E19" s="10" t="s">
        <v>49</v>
      </c>
      <c r="F19" s="11">
        <v>40</v>
      </c>
      <c r="G19" s="12">
        <v>55000</v>
      </c>
      <c r="H19" s="13">
        <v>45324</v>
      </c>
      <c r="I19" t="s">
        <v>67</v>
      </c>
      <c r="J19" s="18">
        <f t="shared" si="0"/>
        <v>2200000</v>
      </c>
      <c r="K19" s="9" t="str">
        <f t="shared" si="4"/>
        <v>High sale</v>
      </c>
      <c r="L19" s="9">
        <f t="shared" si="3"/>
        <v>55000</v>
      </c>
    </row>
    <row r="20" spans="1:12">
      <c r="A20" s="10" t="s">
        <v>68</v>
      </c>
      <c r="B20" s="10" t="s">
        <v>60</v>
      </c>
      <c r="C20" t="str">
        <f t="shared" si="1"/>
        <v>Oluebube Phillip</v>
      </c>
      <c r="D20" s="10" t="s">
        <v>22</v>
      </c>
      <c r="E20" s="10" t="s">
        <v>14</v>
      </c>
      <c r="F20" s="11">
        <v>20</v>
      </c>
      <c r="G20" s="12">
        <v>35000</v>
      </c>
      <c r="H20" s="13">
        <v>45354</v>
      </c>
      <c r="I20" t="s">
        <v>69</v>
      </c>
      <c r="J20" s="18">
        <f t="shared" si="0"/>
        <v>700000</v>
      </c>
      <c r="K20" s="9" t="str">
        <f t="shared" si="4"/>
        <v>High sale</v>
      </c>
      <c r="L20" s="9">
        <f t="shared" si="3"/>
        <v>35000</v>
      </c>
    </row>
    <row r="21" spans="1:12">
      <c r="A21" s="10" t="s">
        <v>70</v>
      </c>
      <c r="B21" s="10" t="s">
        <v>71</v>
      </c>
      <c r="C21" t="str">
        <f t="shared" si="1"/>
        <v>Solomon Chukwuma</v>
      </c>
      <c r="D21" s="10" t="s">
        <v>9</v>
      </c>
      <c r="E21" s="10" t="s">
        <v>14</v>
      </c>
      <c r="F21" s="11">
        <v>12</v>
      </c>
      <c r="G21" s="12">
        <v>5000</v>
      </c>
      <c r="H21" s="13">
        <v>45311</v>
      </c>
      <c r="I21" t="s">
        <v>72</v>
      </c>
      <c r="J21" s="18">
        <f t="shared" si="0"/>
        <v>60000</v>
      </c>
      <c r="K21" s="9" t="str">
        <f t="shared" si="4"/>
        <v>Low sale</v>
      </c>
      <c r="L21" s="9">
        <f t="shared" si="3"/>
        <v>5000</v>
      </c>
    </row>
    <row r="22" spans="1:12">
      <c r="A22" s="14" t="s">
        <v>73</v>
      </c>
      <c r="B22" s="10" t="s">
        <v>74</v>
      </c>
      <c r="C22" t="str">
        <f t="shared" si="1"/>
        <v>Chioma Chukwuka</v>
      </c>
      <c r="D22" s="10" t="s">
        <v>22</v>
      </c>
      <c r="E22" s="10" t="s">
        <v>49</v>
      </c>
      <c r="F22" s="11">
        <v>45</v>
      </c>
      <c r="G22" s="12">
        <v>60000</v>
      </c>
      <c r="H22" s="13">
        <v>45651</v>
      </c>
      <c r="I22" t="s">
        <v>75</v>
      </c>
      <c r="J22" s="18">
        <f t="shared" si="0"/>
        <v>2700000</v>
      </c>
      <c r="K22" s="9" t="str">
        <f t="shared" si="4"/>
        <v>High sale</v>
      </c>
      <c r="L22" s="9">
        <f t="shared" si="3"/>
        <v>60000</v>
      </c>
    </row>
    <row r="23" spans="1:12">
      <c r="A23" s="10" t="s">
        <v>76</v>
      </c>
      <c r="B23" s="10" t="s">
        <v>77</v>
      </c>
      <c r="C23" t="str">
        <f t="shared" si="1"/>
        <v>Chika Mark</v>
      </c>
      <c r="D23" s="10" t="s">
        <v>9</v>
      </c>
      <c r="E23" s="10" t="s">
        <v>18</v>
      </c>
      <c r="F23" s="11">
        <v>28</v>
      </c>
      <c r="G23" s="12">
        <v>35000</v>
      </c>
      <c r="H23" s="13">
        <v>45488</v>
      </c>
      <c r="I23" t="s">
        <v>78</v>
      </c>
      <c r="J23" s="18">
        <f t="shared" si="0"/>
        <v>980000</v>
      </c>
      <c r="K23" s="9" t="str">
        <f t="shared" si="4"/>
        <v>High sale</v>
      </c>
      <c r="L23" s="9">
        <f t="shared" si="3"/>
        <v>35000</v>
      </c>
    </row>
    <row r="24" spans="1:12">
      <c r="A24" s="10" t="s">
        <v>79</v>
      </c>
      <c r="B24" s="10" t="s">
        <v>80</v>
      </c>
      <c r="C24" t="str">
        <f t="shared" si="1"/>
        <v>Ujunwa Obidike</v>
      </c>
      <c r="D24" s="10" t="s">
        <v>22</v>
      </c>
      <c r="E24" s="10" t="s">
        <v>23</v>
      </c>
      <c r="F24" s="11">
        <v>35</v>
      </c>
      <c r="G24" s="12">
        <v>70000</v>
      </c>
      <c r="H24" s="13">
        <v>45644</v>
      </c>
      <c r="I24" t="s">
        <v>81</v>
      </c>
      <c r="J24" s="18">
        <f t="shared" si="0"/>
        <v>2450000</v>
      </c>
      <c r="K24" s="9" t="str">
        <f t="shared" si="4"/>
        <v>High sale</v>
      </c>
      <c r="L24" s="9">
        <f t="shared" si="3"/>
        <v>70000</v>
      </c>
    </row>
    <row r="25" spans="1:12">
      <c r="A25" s="10" t="s">
        <v>82</v>
      </c>
      <c r="B25" s="10" t="s">
        <v>83</v>
      </c>
      <c r="C25" t="str">
        <f t="shared" si="1"/>
        <v>Kamsi Emeka</v>
      </c>
      <c r="D25" s="10" t="s">
        <v>9</v>
      </c>
      <c r="E25" s="10" t="s">
        <v>23</v>
      </c>
      <c r="F25" s="11">
        <v>45</v>
      </c>
      <c r="G25" s="12">
        <v>105000</v>
      </c>
      <c r="H25" s="13">
        <v>45297</v>
      </c>
      <c r="I25" t="s">
        <v>84</v>
      </c>
      <c r="J25" s="18">
        <f t="shared" si="0"/>
        <v>4725000</v>
      </c>
      <c r="K25" s="9" t="str">
        <f t="shared" si="4"/>
        <v>High sale</v>
      </c>
      <c r="L25" s="9">
        <f t="shared" si="3"/>
        <v>105000</v>
      </c>
    </row>
    <row r="26" spans="1:12">
      <c r="A26" s="14" t="s">
        <v>85</v>
      </c>
      <c r="B26" s="10" t="s">
        <v>47</v>
      </c>
      <c r="C26" t="str">
        <f t="shared" si="1"/>
        <v>Nafisat Joseph</v>
      </c>
      <c r="D26" s="10" t="s">
        <v>22</v>
      </c>
      <c r="E26" s="10" t="s">
        <v>39</v>
      </c>
      <c r="F26" s="11">
        <v>10</v>
      </c>
      <c r="G26" s="12">
        <v>1000000</v>
      </c>
      <c r="H26" s="13">
        <v>45607</v>
      </c>
      <c r="I26" t="s">
        <v>86</v>
      </c>
      <c r="J26" s="18">
        <f t="shared" si="0"/>
        <v>10000000</v>
      </c>
      <c r="K26" s="9" t="str">
        <f t="shared" si="4"/>
        <v>High sale</v>
      </c>
      <c r="L26" s="9">
        <f t="shared" si="3"/>
        <v>1000000</v>
      </c>
    </row>
    <row r="27" spans="1:12">
      <c r="A27" s="10" t="s">
        <v>87</v>
      </c>
      <c r="B27" s="10" t="s">
        <v>88</v>
      </c>
      <c r="C27" t="str">
        <f t="shared" si="1"/>
        <v>Tochukwu Emenike</v>
      </c>
      <c r="D27" s="10" t="s">
        <v>9</v>
      </c>
      <c r="E27" s="10" t="s">
        <v>39</v>
      </c>
      <c r="F27" s="11">
        <v>20</v>
      </c>
      <c r="G27" s="12">
        <v>500000</v>
      </c>
      <c r="H27" s="13">
        <v>45575</v>
      </c>
      <c r="I27" t="s">
        <v>89</v>
      </c>
      <c r="J27" s="18">
        <f t="shared" si="0"/>
        <v>10000000</v>
      </c>
      <c r="K27" s="9" t="str">
        <f t="shared" si="4"/>
        <v>High sale</v>
      </c>
      <c r="L27" s="9">
        <f t="shared" si="3"/>
        <v>500000</v>
      </c>
    </row>
    <row r="28" spans="1:12">
      <c r="A28" s="10" t="s">
        <v>90</v>
      </c>
      <c r="B28" s="10" t="s">
        <v>91</v>
      </c>
      <c r="C28" t="str">
        <f t="shared" si="1"/>
        <v>Chinaza Chima</v>
      </c>
      <c r="D28" s="10" t="s">
        <v>22</v>
      </c>
      <c r="E28" s="10" t="s">
        <v>23</v>
      </c>
      <c r="F28" s="11">
        <v>30</v>
      </c>
      <c r="G28" s="12">
        <v>25000</v>
      </c>
      <c r="H28" s="13">
        <v>45509</v>
      </c>
      <c r="I28" t="s">
        <v>92</v>
      </c>
      <c r="J28" s="18">
        <f t="shared" si="0"/>
        <v>750000</v>
      </c>
      <c r="K28" s="9" t="str">
        <f t="shared" si="4"/>
        <v>High sale</v>
      </c>
      <c r="L28" s="9">
        <f t="shared" si="3"/>
        <v>25000</v>
      </c>
    </row>
    <row r="29" spans="1:12">
      <c r="A29" s="10" t="s">
        <v>83</v>
      </c>
      <c r="B29" s="10" t="s">
        <v>93</v>
      </c>
      <c r="C29" t="str">
        <f t="shared" si="1"/>
        <v>Emeka Frank</v>
      </c>
      <c r="D29" s="10" t="s">
        <v>22</v>
      </c>
      <c r="E29" s="10" t="s">
        <v>39</v>
      </c>
      <c r="F29" s="11">
        <v>40</v>
      </c>
      <c r="G29" s="12">
        <v>800000</v>
      </c>
      <c r="H29" s="13">
        <v>45550</v>
      </c>
      <c r="I29" t="s">
        <v>94</v>
      </c>
      <c r="J29" s="18">
        <f t="shared" si="0"/>
        <v>32000000</v>
      </c>
      <c r="K29" s="9" t="str">
        <f t="shared" si="4"/>
        <v>High sale</v>
      </c>
      <c r="L29" s="9">
        <f t="shared" si="3"/>
        <v>800000</v>
      </c>
    </row>
    <row r="30" spans="1:12">
      <c r="C30" t="str">
        <f t="shared" si="1"/>
        <v xml:space="preserve"> </v>
      </c>
      <c r="F30" s="16">
        <f>AVERAGE(F2:F29)</f>
        <v>32.964285714285715</v>
      </c>
      <c r="G30" s="9"/>
      <c r="J30" s="18">
        <f>SUM(J2:J29)</f>
        <v>711493000</v>
      </c>
      <c r="K30" s="9" t="str">
        <f t="shared" si="4"/>
        <v>High sale</v>
      </c>
      <c r="L30" s="9"/>
    </row>
    <row r="31" spans="1:12">
      <c r="F31">
        <f>MAX(F2:F29)-MIN(F2:F29)</f>
        <v>50</v>
      </c>
      <c r="J31" s="18">
        <f>MAX(J2:J29)</f>
        <v>600000000</v>
      </c>
    </row>
  </sheetData>
  <conditionalFormatting sqref="G1:G29">
    <cfRule type="expression" dxfId="25" priority="17">
      <formula>IFG2&gt;100000</formula>
    </cfRule>
    <cfRule type="expression" dxfId="24" priority="16">
      <formula>IFG2&gt;100000</formula>
    </cfRule>
    <cfRule type="expression" dxfId="23" priority="14">
      <formula>IFG2&gt;100000</formula>
    </cfRule>
    <cfRule type="expression" dxfId="22" priority="8">
      <formula>IG2&gt;100000</formula>
    </cfRule>
    <cfRule type="expression" dxfId="21" priority="7">
      <formula>G2&gt;100000</formula>
    </cfRule>
  </conditionalFormatting>
  <conditionalFormatting sqref="L2:L30">
    <cfRule type="expression" dxfId="20" priority="6">
      <formula>L2&gt;100000</formula>
    </cfRule>
  </conditionalFormatting>
  <conditionalFormatting sqref="A2:L29">
    <cfRule type="expression" dxfId="19" priority="3">
      <formula>$D2="Female"</formula>
    </cfRule>
    <cfRule type="expression" dxfId="18" priority="1">
      <formula>$E2="Fashion"</formula>
    </cfRule>
  </conditionalFormatting>
  <conditionalFormatting sqref="F2:F29">
    <cfRule type="colorScale" priority="2">
      <colorScale>
        <cfvo type="min"/>
        <cfvo type="percentile" val="50"/>
        <cfvo type="max"/>
        <color rgb="FFF8696B"/>
        <color rgb="FFFCFCFF"/>
        <color rgb="FF63BE7B"/>
      </colorScale>
    </cfRule>
  </conditionalFormatting>
  <dataValidations count="3">
    <dataValidation type="list" allowBlank="1" showInputMessage="1" showErrorMessage="1" error="Invalid entry. Department must be Babies, Fruits &amp; Veggies, Pastries, or Fashion." prompt="Please select a department from the list." sqref="E2:E29" xr:uid="{20E7AC14-E3B3-4EE6-8AE7-A549BBC06B62}">
      <formula1>"Babies,Fruits &amp; Veggies,Pastries,Fashion"</formula1>
    </dataValidation>
    <dataValidation type="whole" operator="greaterThan" allowBlank="1" showInputMessage="1" showErrorMessage="1" error="Invalid entry. Quantity Sold must be greater than 0." prompt="Enter a quantity greater than 0." sqref="F2:F29" xr:uid="{7E743019-61A2-4DB5-8F8B-3477F4DCF42B}">
      <formula1>0</formula1>
    </dataValidation>
    <dataValidation type="whole" operator="lessThanOrEqual" allowBlank="1" showInputMessage="1" showErrorMessage="1" error="Invalid entry. Amount Sold must be ≤ 200,000." prompt="Enter an Amount Sold not exceeding 200,000." sqref="L2:L29" xr:uid="{689B52F9-FA29-41A9-B41E-3AFA218407AE}">
      <formula1>200000</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78CC1-7A5D-4E90-A785-1B3270133747}">
  <dimension ref="B1"/>
  <sheetViews>
    <sheetView tabSelected="1" zoomScale="58" zoomScaleNormal="58" workbookViewId="0">
      <selection activeCell="AC17" sqref="AC17"/>
    </sheetView>
  </sheetViews>
  <sheetFormatPr defaultRowHeight="14.5"/>
  <cols>
    <col min="1" max="1" width="3.54296875" customWidth="1"/>
    <col min="2" max="2" width="18.269531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irungu</dc:creator>
  <cp:lastModifiedBy>nancy irungu</cp:lastModifiedBy>
  <dcterms:created xsi:type="dcterms:W3CDTF">2026-01-29T01:23:56Z</dcterms:created>
  <dcterms:modified xsi:type="dcterms:W3CDTF">2026-01-31T02:57:16Z</dcterms:modified>
</cp:coreProperties>
</file>